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_GAP" sheetId="1" state="visible" r:id="rId1"/>
    <sheet name="BC_THUC_NHAN" sheetId="2" state="visible" r:id="rId2"/>
    <sheet name="INPUT_THUC_TE" sheetId="3" state="visible" r:id="rId3"/>
    <sheet name="RAW_MB51" sheetId="4" state="visible" r:id="rId4"/>
    <sheet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#,##0;-#,##0;&quot;-&quot;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16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0639B"/>
        <bgColor rgb="0020639B"/>
      </patternFill>
    </fill>
    <fill>
      <patternFill patternType="solid">
        <fgColor rgb="00EDF2F8"/>
        <bgColor rgb="00EDF2F8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1" pivotButton="0" quotePrefix="0" xfId="0"/>
    <xf numFmtId="3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3" fontId="0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5" borderId="2" pivotButton="0" quotePrefix="0" xfId="0"/>
    <xf numFmtId="0" fontId="3" fillId="5" borderId="2" applyAlignment="1" pivotButton="0" quotePrefix="0" xfId="0">
      <alignment horizontal="center"/>
    </xf>
    <xf numFmtId="3" fontId="3" fillId="5" borderId="2" applyAlignment="1" pivotButton="0" quotePrefix="0" xfId="0">
      <alignment horizontal="right"/>
    </xf>
    <xf numFmtId="165" fontId="3" fillId="5" borderId="2" applyAlignment="1" pivotButton="0" quotePrefix="0" xfId="0">
      <alignment horizontal="right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3" fontId="0" fillId="0" borderId="1" pivotButton="0" quotePrefix="0" xfId="0"/>
    <xf numFmtId="3" fontId="3" fillId="4" borderId="1" applyAlignment="1" pivotButton="0" quotePrefix="0" xfId="0">
      <alignment horizontal="right"/>
    </xf>
    <xf numFmtId="0" fontId="0" fillId="0" borderId="5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2:P3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48" customWidth="1" min="5" max="5"/>
    <col width="20" customWidth="1" min="6" max="6"/>
    <col width="16" customWidth="1" min="7" max="7"/>
    <col width="86" customWidth="1" min="8" max="8"/>
    <col width="86" customWidth="1" min="9" max="9"/>
    <col width="86" customWidth="1" min="10" max="10"/>
    <col width="86" customWidth="1" min="11" max="11"/>
    <col width="86" customWidth="1" min="12" max="12"/>
    <col width="86" customWidth="1" min="13" max="13"/>
    <col width="86" customWidth="1" min="14" max="14"/>
    <col width="86" customWidth="1" min="15" max="15"/>
    <col width="16" customWidth="1" min="16" max="16"/>
  </cols>
  <sheetData>
    <row r="2">
      <c r="B2" s="1" t="inlineStr">
        <is>
          <t>BÁO CÁO PHÂN TÍCH CHÊNH LỆCH CẤP LINE (SAP 311 VS THỰC TẾ PACKING)</t>
        </is>
      </c>
    </row>
    <row r="3">
      <c r="B3" s="2" t="inlineStr">
        <is>
          <t>Hệ thống: SAP ERP (MVT 311) | Kho cấp: 1003 ➔ Kho Line: 3003 | Plant: 3001 NMVFHP</t>
        </is>
      </c>
    </row>
    <row r="5">
      <c r="B5" s="3" t="inlineStr">
        <is>
          <t>TỔNG XUẤT SAP 311</t>
        </is>
      </c>
      <c r="C5" s="25" t="n"/>
      <c r="E5" s="3" t="inlineStr">
        <is>
          <t>TỔNG LINE THỰC NHẬN</t>
        </is>
      </c>
      <c r="F5" s="25" t="n"/>
      <c r="H5" s="3" t="inlineStr">
        <is>
          <t>TỔNG CHÊNH LỆCH (GAP)</t>
        </is>
      </c>
      <c r="I5" s="25" t="n"/>
    </row>
    <row r="6">
      <c r="B6" s="5">
        <f>SUM(E10:E34)</f>
        <v/>
      </c>
      <c r="C6" s="25" t="n"/>
      <c r="E6" s="5">
        <f>SUM(F10:F34)</f>
        <v/>
      </c>
      <c r="F6" s="25" t="n"/>
      <c r="H6" s="6">
        <f>SUM(G10:G34)</f>
        <v/>
      </c>
      <c r="I6" s="25" t="n"/>
    </row>
    <row r="9">
      <c r="A9" s="7" t="inlineStr">
        <is>
          <t>STT</t>
        </is>
      </c>
      <c r="B9" s="7" t="inlineStr">
        <is>
          <t>Mã vật tư (Material)</t>
        </is>
      </c>
      <c r="C9" s="7" t="inlineStr">
        <is>
          <t>Tên vật tư (Description)</t>
        </is>
      </c>
      <c r="D9" s="7" t="inlineStr">
        <is>
          <t>Model / Line</t>
        </is>
      </c>
      <c r="E9" s="7" t="inlineStr">
        <is>
          <t>SAP 311</t>
        </is>
      </c>
      <c r="F9" s="7" t="inlineStr">
        <is>
          <t>Line Nhận</t>
        </is>
      </c>
      <c r="G9" s="7" t="inlineStr">
        <is>
          <t>TỔNG GAP</t>
        </is>
      </c>
      <c r="H9" s="7" t="inlineStr">
        <is>
          <t>06:00-07:00</t>
        </is>
      </c>
      <c r="I9" s="7" t="inlineStr">
        <is>
          <t>07:00-08:00</t>
        </is>
      </c>
      <c r="J9" s="7" t="inlineStr">
        <is>
          <t>08:00-09:00</t>
        </is>
      </c>
      <c r="K9" s="7" t="inlineStr">
        <is>
          <t>09:00-10:00</t>
        </is>
      </c>
      <c r="L9" s="7" t="inlineStr">
        <is>
          <t>10:00-11:00</t>
        </is>
      </c>
      <c r="M9" s="7" t="inlineStr">
        <is>
          <t>11:00-12:00</t>
        </is>
      </c>
      <c r="N9" s="7" t="inlineStr">
        <is>
          <t>12:00-13:00</t>
        </is>
      </c>
      <c r="O9" s="7" t="inlineStr">
        <is>
          <t>13:00-14:00</t>
        </is>
      </c>
      <c r="P9" s="7" t="inlineStr">
        <is>
          <t>ĐÁNH GIÁ</t>
        </is>
      </c>
    </row>
    <row r="10">
      <c r="A10" s="8" t="n">
        <v>1</v>
      </c>
      <c r="B10" s="9" t="inlineStr">
        <is>
          <t>BIW20005484</t>
        </is>
      </c>
      <c r="C10" s="4" t="inlineStr">
        <is>
          <t>HINGE_TAILGATE_ASSY</t>
        </is>
      </c>
      <c r="D10" s="4" t="inlineStr">
        <is>
          <t>VF6,8,9,LH - FINISHING</t>
        </is>
      </c>
      <c r="E10" s="10">
        <f>SUMIFS(RAW_MB51!$I:$I, RAW_MB51!$A:$A, $B10)</f>
        <v/>
      </c>
      <c r="F10" s="10">
        <f>BC_THUC_NHAN!E6</f>
        <v/>
      </c>
      <c r="G10" s="11">
        <f>F10-E10</f>
        <v/>
      </c>
      <c r="H10" s="12">
        <f>BC_THUC_NHAN!F6-SUMIFS(RAW_MB51!$I:$I, RAW_MB51!$A:$A, $B10, RAW_MB51!$J:$J, H$9)</f>
        <v/>
      </c>
      <c r="I10" s="12">
        <f>BC_THUC_NHAN!G6-SUMIFS(RAW_MB51!$I:$I, RAW_MB51!$A:$A, $B10, RAW_MB51!$J:$J, I$9)</f>
        <v/>
      </c>
      <c r="J10" s="12">
        <f>BC_THUC_NHAN!H6-SUMIFS(RAW_MB51!$I:$I, RAW_MB51!$A:$A, $B10, RAW_MB51!$J:$J, J$9)</f>
        <v/>
      </c>
      <c r="K10" s="12">
        <f>BC_THUC_NHAN!I6-SUMIFS(RAW_MB51!$I:$I, RAW_MB51!$A:$A, $B10, RAW_MB51!$J:$J, K$9)</f>
        <v/>
      </c>
      <c r="L10" s="12">
        <f>BC_THUC_NHAN!J6-SUMIFS(RAW_MB51!$I:$I, RAW_MB51!$A:$A, $B10, RAW_MB51!$J:$J, L$9)</f>
        <v/>
      </c>
      <c r="M10" s="12">
        <f>BC_THUC_NHAN!K6-SUMIFS(RAW_MB51!$I:$I, RAW_MB51!$A:$A, $B10, RAW_MB51!$J:$J, M$9)</f>
        <v/>
      </c>
      <c r="N10" s="12">
        <f>BC_THUC_NHAN!L6-SUMIFS(RAW_MB51!$I:$I, RAW_MB51!$A:$A, $B10, RAW_MB51!$J:$J, N$9)</f>
        <v/>
      </c>
      <c r="O10" s="12">
        <f>BC_THUC_NHAN!M6-SUMIFS(RAW_MB51!$I:$I, RAW_MB51!$A:$A, $B10, RAW_MB51!$J:$J, O$9)</f>
        <v/>
      </c>
      <c r="P10" s="8">
        <f>IF(G10=0, "✔ Khớp", IF(G10&lt;0, "❌ Thiếu " &amp; TEXT(ABS(G10), "#,##0"), "⚠ Dư " &amp; TEXT(G10, "#,##0")))</f>
        <v/>
      </c>
    </row>
    <row r="11">
      <c r="A11" s="8" t="n">
        <v>2</v>
      </c>
      <c r="B11" s="9" t="inlineStr">
        <is>
          <t>BIW30001015</t>
        </is>
      </c>
      <c r="C11" s="4" t="inlineStr">
        <is>
          <t>ASSY_FRONT_HEADER</t>
        </is>
      </c>
      <c r="D11" s="4" t="inlineStr">
        <is>
          <t>VF8 - FRAMING 1</t>
        </is>
      </c>
      <c r="E11" s="10">
        <f>SUMIFS(RAW_MB51!$I:$I, RAW_MB51!$A:$A, $B11)</f>
        <v/>
      </c>
      <c r="F11" s="10">
        <f>BC_THUC_NHAN!E7</f>
        <v/>
      </c>
      <c r="G11" s="11">
        <f>F11-E11</f>
        <v/>
      </c>
      <c r="H11" s="12">
        <f>BC_THUC_NHAN!F7-SUMIFS(RAW_MB51!$I:$I, RAW_MB51!$A:$A, $B11, RAW_MB51!$J:$J, H$9)</f>
        <v/>
      </c>
      <c r="I11" s="12">
        <f>BC_THUC_NHAN!G7-SUMIFS(RAW_MB51!$I:$I, RAW_MB51!$A:$A, $B11, RAW_MB51!$J:$J, I$9)</f>
        <v/>
      </c>
      <c r="J11" s="12">
        <f>BC_THUC_NHAN!H7-SUMIFS(RAW_MB51!$I:$I, RAW_MB51!$A:$A, $B11, RAW_MB51!$J:$J, J$9)</f>
        <v/>
      </c>
      <c r="K11" s="12">
        <f>BC_THUC_NHAN!I7-SUMIFS(RAW_MB51!$I:$I, RAW_MB51!$A:$A, $B11, RAW_MB51!$J:$J, K$9)</f>
        <v/>
      </c>
      <c r="L11" s="12">
        <f>BC_THUC_NHAN!J7-SUMIFS(RAW_MB51!$I:$I, RAW_MB51!$A:$A, $B11, RAW_MB51!$J:$J, L$9)</f>
        <v/>
      </c>
      <c r="M11" s="12">
        <f>BC_THUC_NHAN!K7-SUMIFS(RAW_MB51!$I:$I, RAW_MB51!$A:$A, $B11, RAW_MB51!$J:$J, M$9)</f>
        <v/>
      </c>
      <c r="N11" s="12">
        <f>BC_THUC_NHAN!L7-SUMIFS(RAW_MB51!$I:$I, RAW_MB51!$A:$A, $B11, RAW_MB51!$J:$J, N$9)</f>
        <v/>
      </c>
      <c r="O11" s="12">
        <f>BC_THUC_NHAN!M7-SUMIFS(RAW_MB51!$I:$I, RAW_MB51!$A:$A, $B11, RAW_MB51!$J:$J, O$9)</f>
        <v/>
      </c>
      <c r="P11" s="8">
        <f>IF(G11=0, "✔ Khớp", IF(G11&lt;0, "❌ Thiếu " &amp; TEXT(ABS(G11), "#,##0"), "⚠ Dư " &amp; TEXT(G11, "#,##0")))</f>
        <v/>
      </c>
    </row>
    <row r="12">
      <c r="A12" s="8" t="n">
        <v>3</v>
      </c>
      <c r="B12" s="9" t="inlineStr">
        <is>
          <t>BIW30001038</t>
        </is>
      </c>
      <c r="C12" s="4" t="inlineStr">
        <is>
          <t>ASSY_FENDER_MTG_BRKT_FRONT_UPPER_LH</t>
        </is>
      </c>
      <c r="D12" s="4" t="inlineStr">
        <is>
          <t>VF8 - SOL</t>
        </is>
      </c>
      <c r="E12" s="10">
        <f>SUMIFS(RAW_MB51!$I:$I, RAW_MB51!$A:$A, $B12)</f>
        <v/>
      </c>
      <c r="F12" s="10">
        <f>BC_THUC_NHAN!E8</f>
        <v/>
      </c>
      <c r="G12" s="11">
        <f>F12-E12</f>
        <v/>
      </c>
      <c r="H12" s="12">
        <f>BC_THUC_NHAN!F8-SUMIFS(RAW_MB51!$I:$I, RAW_MB51!$A:$A, $B12, RAW_MB51!$J:$J, H$9)</f>
        <v/>
      </c>
      <c r="I12" s="12">
        <f>BC_THUC_NHAN!G8-SUMIFS(RAW_MB51!$I:$I, RAW_MB51!$A:$A, $B12, RAW_MB51!$J:$J, I$9)</f>
        <v/>
      </c>
      <c r="J12" s="12">
        <f>BC_THUC_NHAN!H8-SUMIFS(RAW_MB51!$I:$I, RAW_MB51!$A:$A, $B12, RAW_MB51!$J:$J, J$9)</f>
        <v/>
      </c>
      <c r="K12" s="12">
        <f>BC_THUC_NHAN!I8-SUMIFS(RAW_MB51!$I:$I, RAW_MB51!$A:$A, $B12, RAW_MB51!$J:$J, K$9)</f>
        <v/>
      </c>
      <c r="L12" s="12">
        <f>BC_THUC_NHAN!J8-SUMIFS(RAW_MB51!$I:$I, RAW_MB51!$A:$A, $B12, RAW_MB51!$J:$J, L$9)</f>
        <v/>
      </c>
      <c r="M12" s="12">
        <f>BC_THUC_NHAN!K8-SUMIFS(RAW_MB51!$I:$I, RAW_MB51!$A:$A, $B12, RAW_MB51!$J:$J, M$9)</f>
        <v/>
      </c>
      <c r="N12" s="12">
        <f>BC_THUC_NHAN!L8-SUMIFS(RAW_MB51!$I:$I, RAW_MB51!$A:$A, $B12, RAW_MB51!$J:$J, N$9)</f>
        <v/>
      </c>
      <c r="O12" s="12">
        <f>BC_THUC_NHAN!M8-SUMIFS(RAW_MB51!$I:$I, RAW_MB51!$A:$A, $B12, RAW_MB51!$J:$J, O$9)</f>
        <v/>
      </c>
      <c r="P12" s="8">
        <f>IF(G12=0, "✔ Khớp", IF(G12&lt;0, "❌ Thiếu " &amp; TEXT(ABS(G12), "#,##0"), "⚠ Dư " &amp; TEXT(G12, "#,##0")))</f>
        <v/>
      </c>
    </row>
    <row r="13">
      <c r="A13" s="8" t="n">
        <v>4</v>
      </c>
      <c r="B13" s="9" t="inlineStr">
        <is>
          <t>BIW30001039</t>
        </is>
      </c>
      <c r="C13" s="4" t="inlineStr">
        <is>
          <t>ASSY_FENDER_MTG_BRKT_FRONT_UPPER_RH</t>
        </is>
      </c>
      <c r="D13" s="4" t="inlineStr">
        <is>
          <t>VF8 - SOR</t>
        </is>
      </c>
      <c r="E13" s="10">
        <f>SUMIFS(RAW_MB51!$I:$I, RAW_MB51!$A:$A, $B13)</f>
        <v/>
      </c>
      <c r="F13" s="10">
        <f>BC_THUC_NHAN!E9</f>
        <v/>
      </c>
      <c r="G13" s="11">
        <f>F13-E13</f>
        <v/>
      </c>
      <c r="H13" s="12">
        <f>BC_THUC_NHAN!F9-SUMIFS(RAW_MB51!$I:$I, RAW_MB51!$A:$A, $B13, RAW_MB51!$J:$J, H$9)</f>
        <v/>
      </c>
      <c r="I13" s="12">
        <f>BC_THUC_NHAN!G9-SUMIFS(RAW_MB51!$I:$I, RAW_MB51!$A:$A, $B13, RAW_MB51!$J:$J, I$9)</f>
        <v/>
      </c>
      <c r="J13" s="12">
        <f>BC_THUC_NHAN!H9-SUMIFS(RAW_MB51!$I:$I, RAW_MB51!$A:$A, $B13, RAW_MB51!$J:$J, J$9)</f>
        <v/>
      </c>
      <c r="K13" s="12">
        <f>BC_THUC_NHAN!I9-SUMIFS(RAW_MB51!$I:$I, RAW_MB51!$A:$A, $B13, RAW_MB51!$J:$J, K$9)</f>
        <v/>
      </c>
      <c r="L13" s="12">
        <f>BC_THUC_NHAN!J9-SUMIFS(RAW_MB51!$I:$I, RAW_MB51!$A:$A, $B13, RAW_MB51!$J:$J, L$9)</f>
        <v/>
      </c>
      <c r="M13" s="12">
        <f>BC_THUC_NHAN!K9-SUMIFS(RAW_MB51!$I:$I, RAW_MB51!$A:$A, $B13, RAW_MB51!$J:$J, M$9)</f>
        <v/>
      </c>
      <c r="N13" s="12">
        <f>BC_THUC_NHAN!L9-SUMIFS(RAW_MB51!$I:$I, RAW_MB51!$A:$A, $B13, RAW_MB51!$J:$J, N$9)</f>
        <v/>
      </c>
      <c r="O13" s="12">
        <f>BC_THUC_NHAN!M9-SUMIFS(RAW_MB51!$I:$I, RAW_MB51!$A:$A, $B13, RAW_MB51!$J:$J, O$9)</f>
        <v/>
      </c>
      <c r="P13" s="8">
        <f>IF(G13=0, "✔ Khớp", IF(G13&lt;0, "❌ Thiếu " &amp; TEXT(ABS(G13), "#,##0"), "⚠ Dư " &amp; TEXT(G13, "#,##0")))</f>
        <v/>
      </c>
    </row>
    <row r="14">
      <c r="A14" s="8" t="n">
        <v>5</v>
      </c>
      <c r="B14" s="9" t="inlineStr">
        <is>
          <t>BIW30001060AA</t>
        </is>
      </c>
      <c r="C14" s="4" t="inlineStr">
        <is>
          <t>REAR_HEADER_LOWER</t>
        </is>
      </c>
      <c r="D14" s="4" t="inlineStr">
        <is>
          <t>VF8 - FRAMING 1</t>
        </is>
      </c>
      <c r="E14" s="10">
        <f>SUMIFS(RAW_MB51!$I:$I, RAW_MB51!$A:$A, $B14)</f>
        <v/>
      </c>
      <c r="F14" s="10">
        <f>BC_THUC_NHAN!E10</f>
        <v/>
      </c>
      <c r="G14" s="11">
        <f>F14-E14</f>
        <v/>
      </c>
      <c r="H14" s="12">
        <f>BC_THUC_NHAN!F10-SUMIFS(RAW_MB51!$I:$I, RAW_MB51!$A:$A, $B14, RAW_MB51!$J:$J, H$9)</f>
        <v/>
      </c>
      <c r="I14" s="12">
        <f>BC_THUC_NHAN!G10-SUMIFS(RAW_MB51!$I:$I, RAW_MB51!$A:$A, $B14, RAW_MB51!$J:$J, I$9)</f>
        <v/>
      </c>
      <c r="J14" s="12">
        <f>BC_THUC_NHAN!H10-SUMIFS(RAW_MB51!$I:$I, RAW_MB51!$A:$A, $B14, RAW_MB51!$J:$J, J$9)</f>
        <v/>
      </c>
      <c r="K14" s="12">
        <f>BC_THUC_NHAN!I10-SUMIFS(RAW_MB51!$I:$I, RAW_MB51!$A:$A, $B14, RAW_MB51!$J:$J, K$9)</f>
        <v/>
      </c>
      <c r="L14" s="12">
        <f>BC_THUC_NHAN!J10-SUMIFS(RAW_MB51!$I:$I, RAW_MB51!$A:$A, $B14, RAW_MB51!$J:$J, L$9)</f>
        <v/>
      </c>
      <c r="M14" s="12">
        <f>BC_THUC_NHAN!K10-SUMIFS(RAW_MB51!$I:$I, RAW_MB51!$A:$A, $B14, RAW_MB51!$J:$J, M$9)</f>
        <v/>
      </c>
      <c r="N14" s="12">
        <f>BC_THUC_NHAN!L10-SUMIFS(RAW_MB51!$I:$I, RAW_MB51!$A:$A, $B14, RAW_MB51!$J:$J, N$9)</f>
        <v/>
      </c>
      <c r="O14" s="12">
        <f>BC_THUC_NHAN!M10-SUMIFS(RAW_MB51!$I:$I, RAW_MB51!$A:$A, $B14, RAW_MB51!$J:$J, O$9)</f>
        <v/>
      </c>
      <c r="P14" s="8">
        <f>IF(G14=0, "✔ Khớp", IF(G14&lt;0, "❌ Thiếu " &amp; TEXT(ABS(G14), "#,##0"), "⚠ Dư " &amp; TEXT(G14, "#,##0")))</f>
        <v/>
      </c>
    </row>
    <row r="15">
      <c r="A15" s="8" t="n">
        <v>6</v>
      </c>
      <c r="B15" s="9" t="inlineStr">
        <is>
          <t>BIW30001062</t>
        </is>
      </c>
      <c r="C15" s="4" t="inlineStr">
        <is>
          <t>ROOF BOW RR</t>
        </is>
      </c>
      <c r="D15" s="4" t="inlineStr">
        <is>
          <t>VF8 - FRAMING 2</t>
        </is>
      </c>
      <c r="E15" s="10">
        <f>SUMIFS(RAW_MB51!$I:$I, RAW_MB51!$A:$A, $B15)</f>
        <v/>
      </c>
      <c r="F15" s="10">
        <f>BC_THUC_NHAN!E11</f>
        <v/>
      </c>
      <c r="G15" s="11">
        <f>F15-E15</f>
        <v/>
      </c>
      <c r="H15" s="12">
        <f>BC_THUC_NHAN!F11-SUMIFS(RAW_MB51!$I:$I, RAW_MB51!$A:$A, $B15, RAW_MB51!$J:$J, H$9)</f>
        <v/>
      </c>
      <c r="I15" s="12">
        <f>BC_THUC_NHAN!G11-SUMIFS(RAW_MB51!$I:$I, RAW_MB51!$A:$A, $B15, RAW_MB51!$J:$J, I$9)</f>
        <v/>
      </c>
      <c r="J15" s="12">
        <f>BC_THUC_NHAN!H11-SUMIFS(RAW_MB51!$I:$I, RAW_MB51!$A:$A, $B15, RAW_MB51!$J:$J, J$9)</f>
        <v/>
      </c>
      <c r="K15" s="12">
        <f>BC_THUC_NHAN!I11-SUMIFS(RAW_MB51!$I:$I, RAW_MB51!$A:$A, $B15, RAW_MB51!$J:$J, K$9)</f>
        <v/>
      </c>
      <c r="L15" s="12">
        <f>BC_THUC_NHAN!J11-SUMIFS(RAW_MB51!$I:$I, RAW_MB51!$A:$A, $B15, RAW_MB51!$J:$J, L$9)</f>
        <v/>
      </c>
      <c r="M15" s="12">
        <f>BC_THUC_NHAN!K11-SUMIFS(RAW_MB51!$I:$I, RAW_MB51!$A:$A, $B15, RAW_MB51!$J:$J, M$9)</f>
        <v/>
      </c>
      <c r="N15" s="12">
        <f>BC_THUC_NHAN!L11-SUMIFS(RAW_MB51!$I:$I, RAW_MB51!$A:$A, $B15, RAW_MB51!$J:$J, N$9)</f>
        <v/>
      </c>
      <c r="O15" s="12">
        <f>BC_THUC_NHAN!M11-SUMIFS(RAW_MB51!$I:$I, RAW_MB51!$A:$A, $B15, RAW_MB51!$J:$J, O$9)</f>
        <v/>
      </c>
      <c r="P15" s="8">
        <f>IF(G15=0, "✔ Khớp", IF(G15&lt;0, "❌ Thiếu " &amp; TEXT(ABS(G15), "#,##0"), "⚠ Dư " &amp; TEXT(G15, "#,##0")))</f>
        <v/>
      </c>
    </row>
    <row r="16">
      <c r="A16" s="8" t="n">
        <v>7</v>
      </c>
      <c r="B16" s="9" t="inlineStr">
        <is>
          <t>BIW30001066AA</t>
        </is>
      </c>
      <c r="C16" s="4" t="inlineStr">
        <is>
          <t>PANEL_FENDER_RH</t>
        </is>
      </c>
      <c r="D16" s="4" t="inlineStr">
        <is>
          <t>VF8 - FINISHING</t>
        </is>
      </c>
      <c r="E16" s="10">
        <f>SUMIFS(RAW_MB51!$I:$I, RAW_MB51!$A:$A, $B16)</f>
        <v/>
      </c>
      <c r="F16" s="10">
        <f>BC_THUC_NHAN!E12</f>
        <v/>
      </c>
      <c r="G16" s="11">
        <f>F16-E16</f>
        <v/>
      </c>
      <c r="H16" s="12">
        <f>BC_THUC_NHAN!F12-SUMIFS(RAW_MB51!$I:$I, RAW_MB51!$A:$A, $B16, RAW_MB51!$J:$J, H$9)</f>
        <v/>
      </c>
      <c r="I16" s="12">
        <f>BC_THUC_NHAN!G12-SUMIFS(RAW_MB51!$I:$I, RAW_MB51!$A:$A, $B16, RAW_MB51!$J:$J, I$9)</f>
        <v/>
      </c>
      <c r="J16" s="12">
        <f>BC_THUC_NHAN!H12-SUMIFS(RAW_MB51!$I:$I, RAW_MB51!$A:$A, $B16, RAW_MB51!$J:$J, J$9)</f>
        <v/>
      </c>
      <c r="K16" s="12">
        <f>BC_THUC_NHAN!I12-SUMIFS(RAW_MB51!$I:$I, RAW_MB51!$A:$A, $B16, RAW_MB51!$J:$J, K$9)</f>
        <v/>
      </c>
      <c r="L16" s="12">
        <f>BC_THUC_NHAN!J12-SUMIFS(RAW_MB51!$I:$I, RAW_MB51!$A:$A, $B16, RAW_MB51!$J:$J, L$9)</f>
        <v/>
      </c>
      <c r="M16" s="12">
        <f>BC_THUC_NHAN!K12-SUMIFS(RAW_MB51!$I:$I, RAW_MB51!$A:$A, $B16, RAW_MB51!$J:$J, M$9)</f>
        <v/>
      </c>
      <c r="N16" s="12">
        <f>BC_THUC_NHAN!L12-SUMIFS(RAW_MB51!$I:$I, RAW_MB51!$A:$A, $B16, RAW_MB51!$J:$J, N$9)</f>
        <v/>
      </c>
      <c r="O16" s="12">
        <f>BC_THUC_NHAN!M12-SUMIFS(RAW_MB51!$I:$I, RAW_MB51!$A:$A, $B16, RAW_MB51!$J:$J, O$9)</f>
        <v/>
      </c>
      <c r="P16" s="8">
        <f>IF(G16=0, "✔ Khớp", IF(G16&lt;0, "❌ Thiếu " &amp; TEXT(ABS(G16), "#,##0"), "⚠ Dư " &amp; TEXT(G16, "#,##0")))</f>
        <v/>
      </c>
    </row>
    <row r="17">
      <c r="A17" s="8" t="n">
        <v>8</v>
      </c>
      <c r="B17" s="9" t="inlineStr">
        <is>
          <t>BIW30001200</t>
        </is>
      </c>
      <c r="C17" s="4" t="inlineStr">
        <is>
          <t>ASSY_PANEL_SUNROOF</t>
        </is>
      </c>
      <c r="D17" s="4" t="inlineStr">
        <is>
          <t xml:space="preserve">VF8 - FRAMING 3 </t>
        </is>
      </c>
      <c r="E17" s="10">
        <f>SUMIFS(RAW_MB51!$I:$I, RAW_MB51!$A:$A, $B17)</f>
        <v/>
      </c>
      <c r="F17" s="10">
        <f>BC_THUC_NHAN!E13</f>
        <v/>
      </c>
      <c r="G17" s="11">
        <f>F17-E17</f>
        <v/>
      </c>
      <c r="H17" s="12">
        <f>BC_THUC_NHAN!F13-SUMIFS(RAW_MB51!$I:$I, RAW_MB51!$A:$A, $B17, RAW_MB51!$J:$J, H$9)</f>
        <v/>
      </c>
      <c r="I17" s="12">
        <f>BC_THUC_NHAN!G13-SUMIFS(RAW_MB51!$I:$I, RAW_MB51!$A:$A, $B17, RAW_MB51!$J:$J, I$9)</f>
        <v/>
      </c>
      <c r="J17" s="12">
        <f>BC_THUC_NHAN!H13-SUMIFS(RAW_MB51!$I:$I, RAW_MB51!$A:$A, $B17, RAW_MB51!$J:$J, J$9)</f>
        <v/>
      </c>
      <c r="K17" s="12">
        <f>BC_THUC_NHAN!I13-SUMIFS(RAW_MB51!$I:$I, RAW_MB51!$A:$A, $B17, RAW_MB51!$J:$J, K$9)</f>
        <v/>
      </c>
      <c r="L17" s="12">
        <f>BC_THUC_NHAN!J13-SUMIFS(RAW_MB51!$I:$I, RAW_MB51!$A:$A, $B17, RAW_MB51!$J:$J, L$9)</f>
        <v/>
      </c>
      <c r="M17" s="12">
        <f>BC_THUC_NHAN!K13-SUMIFS(RAW_MB51!$I:$I, RAW_MB51!$A:$A, $B17, RAW_MB51!$J:$J, M$9)</f>
        <v/>
      </c>
      <c r="N17" s="12">
        <f>BC_THUC_NHAN!L13-SUMIFS(RAW_MB51!$I:$I, RAW_MB51!$A:$A, $B17, RAW_MB51!$J:$J, N$9)</f>
        <v/>
      </c>
      <c r="O17" s="12">
        <f>BC_THUC_NHAN!M13-SUMIFS(RAW_MB51!$I:$I, RAW_MB51!$A:$A, $B17, RAW_MB51!$J:$J, O$9)</f>
        <v/>
      </c>
      <c r="P17" s="8">
        <f>IF(G17=0, "✔ Khớp", IF(G17&lt;0, "❌ Thiếu " &amp; TEXT(ABS(G17), "#,##0"), "⚠ Dư " &amp; TEXT(G17, "#,##0")))</f>
        <v/>
      </c>
    </row>
    <row r="18">
      <c r="A18" s="8" t="n">
        <v>9</v>
      </c>
      <c r="B18" s="9" t="inlineStr">
        <is>
          <t>BIW30002039</t>
        </is>
      </c>
      <c r="C18" s="4" t="inlineStr">
        <is>
          <t>ASSY_BULKHEAD_FR_PLR_UPR_LH</t>
        </is>
      </c>
      <c r="D18" s="4" t="inlineStr">
        <is>
          <t>VF8 - SOL</t>
        </is>
      </c>
      <c r="E18" s="10">
        <f>SUMIFS(RAW_MB51!$I:$I, RAW_MB51!$A:$A, $B18)</f>
        <v/>
      </c>
      <c r="F18" s="10">
        <f>BC_THUC_NHAN!E14</f>
        <v/>
      </c>
      <c r="G18" s="11">
        <f>F18-E18</f>
        <v/>
      </c>
      <c r="H18" s="12">
        <f>BC_THUC_NHAN!F14-SUMIFS(RAW_MB51!$I:$I, RAW_MB51!$A:$A, $B18, RAW_MB51!$J:$J, H$9)</f>
        <v/>
      </c>
      <c r="I18" s="12">
        <f>BC_THUC_NHAN!G14-SUMIFS(RAW_MB51!$I:$I, RAW_MB51!$A:$A, $B18, RAW_MB51!$J:$J, I$9)</f>
        <v/>
      </c>
      <c r="J18" s="12">
        <f>BC_THUC_NHAN!H14-SUMIFS(RAW_MB51!$I:$I, RAW_MB51!$A:$A, $B18, RAW_MB51!$J:$J, J$9)</f>
        <v/>
      </c>
      <c r="K18" s="12">
        <f>BC_THUC_NHAN!I14-SUMIFS(RAW_MB51!$I:$I, RAW_MB51!$A:$A, $B18, RAW_MB51!$J:$J, K$9)</f>
        <v/>
      </c>
      <c r="L18" s="12">
        <f>BC_THUC_NHAN!J14-SUMIFS(RAW_MB51!$I:$I, RAW_MB51!$A:$A, $B18, RAW_MB51!$J:$J, L$9)</f>
        <v/>
      </c>
      <c r="M18" s="12">
        <f>BC_THUC_NHAN!K14-SUMIFS(RAW_MB51!$I:$I, RAW_MB51!$A:$A, $B18, RAW_MB51!$J:$J, M$9)</f>
        <v/>
      </c>
      <c r="N18" s="12">
        <f>BC_THUC_NHAN!L14-SUMIFS(RAW_MB51!$I:$I, RAW_MB51!$A:$A, $B18, RAW_MB51!$J:$J, N$9)</f>
        <v/>
      </c>
      <c r="O18" s="12">
        <f>BC_THUC_NHAN!M14-SUMIFS(RAW_MB51!$I:$I, RAW_MB51!$A:$A, $B18, RAW_MB51!$J:$J, O$9)</f>
        <v/>
      </c>
      <c r="P18" s="8">
        <f>IF(G18=0, "✔ Khớp", IF(G18&lt;0, "❌ Thiếu " &amp; TEXT(ABS(G18), "#,##0"), "⚠ Dư " &amp; TEXT(G18, "#,##0")))</f>
        <v/>
      </c>
    </row>
    <row r="19">
      <c r="A19" s="8" t="n">
        <v>10</v>
      </c>
      <c r="B19" s="9" t="inlineStr">
        <is>
          <t>BIW30002040</t>
        </is>
      </c>
      <c r="C19" s="4" t="inlineStr">
        <is>
          <t>ASSY_BULKHEAD_FR_PLR_LWR_LH</t>
        </is>
      </c>
      <c r="D19" s="4" t="inlineStr">
        <is>
          <t>VF8 - SOL</t>
        </is>
      </c>
      <c r="E19" s="10">
        <f>SUMIFS(RAW_MB51!$I:$I, RAW_MB51!$A:$A, $B19)</f>
        <v/>
      </c>
      <c r="F19" s="10">
        <f>BC_THUC_NHAN!E15</f>
        <v/>
      </c>
      <c r="G19" s="11">
        <f>F19-E19</f>
        <v/>
      </c>
      <c r="H19" s="12">
        <f>BC_THUC_NHAN!F15-SUMIFS(RAW_MB51!$I:$I, RAW_MB51!$A:$A, $B19, RAW_MB51!$J:$J, H$9)</f>
        <v/>
      </c>
      <c r="I19" s="12">
        <f>BC_THUC_NHAN!G15-SUMIFS(RAW_MB51!$I:$I, RAW_MB51!$A:$A, $B19, RAW_MB51!$J:$J, I$9)</f>
        <v/>
      </c>
      <c r="J19" s="12">
        <f>BC_THUC_NHAN!H15-SUMIFS(RAW_MB51!$I:$I, RAW_MB51!$A:$A, $B19, RAW_MB51!$J:$J, J$9)</f>
        <v/>
      </c>
      <c r="K19" s="12">
        <f>BC_THUC_NHAN!I15-SUMIFS(RAW_MB51!$I:$I, RAW_MB51!$A:$A, $B19, RAW_MB51!$J:$J, K$9)</f>
        <v/>
      </c>
      <c r="L19" s="12">
        <f>BC_THUC_NHAN!J15-SUMIFS(RAW_MB51!$I:$I, RAW_MB51!$A:$A, $B19, RAW_MB51!$J:$J, L$9)</f>
        <v/>
      </c>
      <c r="M19" s="12">
        <f>BC_THUC_NHAN!K15-SUMIFS(RAW_MB51!$I:$I, RAW_MB51!$A:$A, $B19, RAW_MB51!$J:$J, M$9)</f>
        <v/>
      </c>
      <c r="N19" s="12">
        <f>BC_THUC_NHAN!L15-SUMIFS(RAW_MB51!$I:$I, RAW_MB51!$A:$A, $B19, RAW_MB51!$J:$J, N$9)</f>
        <v/>
      </c>
      <c r="O19" s="12">
        <f>BC_THUC_NHAN!M15-SUMIFS(RAW_MB51!$I:$I, RAW_MB51!$A:$A, $B19, RAW_MB51!$J:$J, O$9)</f>
        <v/>
      </c>
      <c r="P19" s="8">
        <f>IF(G19=0, "✔ Khớp", IF(G19&lt;0, "❌ Thiếu " &amp; TEXT(ABS(G19), "#,##0"), "⚠ Dư " &amp; TEXT(G19, "#,##0")))</f>
        <v/>
      </c>
    </row>
    <row r="20">
      <c r="A20" s="8" t="n">
        <v>11</v>
      </c>
      <c r="B20" s="9" t="inlineStr">
        <is>
          <t>BIW30002044</t>
        </is>
      </c>
      <c r="C20" s="4" t="inlineStr">
        <is>
          <t>ASSY_RENIF_CTR_PLR_LH</t>
        </is>
      </c>
      <c r="D20" s="4" t="inlineStr">
        <is>
          <t>VF8 - SOL</t>
        </is>
      </c>
      <c r="E20" s="10">
        <f>SUMIFS(RAW_MB51!$I:$I, RAW_MB51!$A:$A, $B20)</f>
        <v/>
      </c>
      <c r="F20" s="10">
        <f>BC_THUC_NHAN!E16</f>
        <v/>
      </c>
      <c r="G20" s="11">
        <f>F20-E20</f>
        <v/>
      </c>
      <c r="H20" s="12">
        <f>BC_THUC_NHAN!F16-SUMIFS(RAW_MB51!$I:$I, RAW_MB51!$A:$A, $B20, RAW_MB51!$J:$J, H$9)</f>
        <v/>
      </c>
      <c r="I20" s="12">
        <f>BC_THUC_NHAN!G16-SUMIFS(RAW_MB51!$I:$I, RAW_MB51!$A:$A, $B20, RAW_MB51!$J:$J, I$9)</f>
        <v/>
      </c>
      <c r="J20" s="12">
        <f>BC_THUC_NHAN!H16-SUMIFS(RAW_MB51!$I:$I, RAW_MB51!$A:$A, $B20, RAW_MB51!$J:$J, J$9)</f>
        <v/>
      </c>
      <c r="K20" s="12">
        <f>BC_THUC_NHAN!I16-SUMIFS(RAW_MB51!$I:$I, RAW_MB51!$A:$A, $B20, RAW_MB51!$J:$J, K$9)</f>
        <v/>
      </c>
      <c r="L20" s="12">
        <f>BC_THUC_NHAN!J16-SUMIFS(RAW_MB51!$I:$I, RAW_MB51!$A:$A, $B20, RAW_MB51!$J:$J, L$9)</f>
        <v/>
      </c>
      <c r="M20" s="12">
        <f>BC_THUC_NHAN!K16-SUMIFS(RAW_MB51!$I:$I, RAW_MB51!$A:$A, $B20, RAW_MB51!$J:$J, M$9)</f>
        <v/>
      </c>
      <c r="N20" s="12">
        <f>BC_THUC_NHAN!L16-SUMIFS(RAW_MB51!$I:$I, RAW_MB51!$A:$A, $B20, RAW_MB51!$J:$J, N$9)</f>
        <v/>
      </c>
      <c r="O20" s="12">
        <f>BC_THUC_NHAN!M16-SUMIFS(RAW_MB51!$I:$I, RAW_MB51!$A:$A, $B20, RAW_MB51!$J:$J, O$9)</f>
        <v/>
      </c>
      <c r="P20" s="8">
        <f>IF(G20=0, "✔ Khớp", IF(G20&lt;0, "❌ Thiếu " &amp; TEXT(ABS(G20), "#,##0"), "⚠ Dư " &amp; TEXT(G20, "#,##0")))</f>
        <v/>
      </c>
    </row>
    <row r="21">
      <c r="A21" s="8" t="n">
        <v>12</v>
      </c>
      <c r="B21" s="9" t="inlineStr">
        <is>
          <t>BIW30002048</t>
        </is>
      </c>
      <c r="C21" s="4" t="inlineStr">
        <is>
          <t>ASSY_REINF_FR_PLR_UPR_LH</t>
        </is>
      </c>
      <c r="D21" s="4" t="inlineStr">
        <is>
          <t>VF8 - SIL</t>
        </is>
      </c>
      <c r="E21" s="10">
        <f>SUMIFS(RAW_MB51!$I:$I, RAW_MB51!$A:$A, $B21)</f>
        <v/>
      </c>
      <c r="F21" s="10">
        <f>BC_THUC_NHAN!E17</f>
        <v/>
      </c>
      <c r="G21" s="11">
        <f>F21-E21</f>
        <v/>
      </c>
      <c r="H21" s="12">
        <f>BC_THUC_NHAN!F17-SUMIFS(RAW_MB51!$I:$I, RAW_MB51!$A:$A, $B21, RAW_MB51!$J:$J, H$9)</f>
        <v/>
      </c>
      <c r="I21" s="12">
        <f>BC_THUC_NHAN!G17-SUMIFS(RAW_MB51!$I:$I, RAW_MB51!$A:$A, $B21, RAW_MB51!$J:$J, I$9)</f>
        <v/>
      </c>
      <c r="J21" s="12">
        <f>BC_THUC_NHAN!H17-SUMIFS(RAW_MB51!$I:$I, RAW_MB51!$A:$A, $B21, RAW_MB51!$J:$J, J$9)</f>
        <v/>
      </c>
      <c r="K21" s="12">
        <f>BC_THUC_NHAN!I17-SUMIFS(RAW_MB51!$I:$I, RAW_MB51!$A:$A, $B21, RAW_MB51!$J:$J, K$9)</f>
        <v/>
      </c>
      <c r="L21" s="12">
        <f>BC_THUC_NHAN!J17-SUMIFS(RAW_MB51!$I:$I, RAW_MB51!$A:$A, $B21, RAW_MB51!$J:$J, L$9)</f>
        <v/>
      </c>
      <c r="M21" s="12">
        <f>BC_THUC_NHAN!K17-SUMIFS(RAW_MB51!$I:$I, RAW_MB51!$A:$A, $B21, RAW_MB51!$J:$J, M$9)</f>
        <v/>
      </c>
      <c r="N21" s="12">
        <f>BC_THUC_NHAN!L17-SUMIFS(RAW_MB51!$I:$I, RAW_MB51!$A:$A, $B21, RAW_MB51!$J:$J, N$9)</f>
        <v/>
      </c>
      <c r="O21" s="12">
        <f>BC_THUC_NHAN!M17-SUMIFS(RAW_MB51!$I:$I, RAW_MB51!$A:$A, $B21, RAW_MB51!$J:$J, O$9)</f>
        <v/>
      </c>
      <c r="P21" s="8">
        <f>IF(G21=0, "✔ Khớp", IF(G21&lt;0, "❌ Thiếu " &amp; TEXT(ABS(G21), "#,##0"), "⚠ Dư " &amp; TEXT(G21, "#,##0")))</f>
        <v/>
      </c>
    </row>
    <row r="22">
      <c r="A22" s="8" t="n">
        <v>13</v>
      </c>
      <c r="B22" s="9" t="inlineStr">
        <is>
          <t>BIW30002049</t>
        </is>
      </c>
      <c r="C22" s="4" t="inlineStr">
        <is>
          <t>ASSY_REINF_FR_PLR_UPR_LH</t>
        </is>
      </c>
      <c r="D22" s="4" t="inlineStr">
        <is>
          <t>VF8 - SIL</t>
        </is>
      </c>
      <c r="E22" s="10">
        <f>SUMIFS(RAW_MB51!$I:$I, RAW_MB51!$A:$A, $B22)</f>
        <v/>
      </c>
      <c r="F22" s="10">
        <f>BC_THUC_NHAN!E18</f>
        <v/>
      </c>
      <c r="G22" s="11">
        <f>F22-E22</f>
        <v/>
      </c>
      <c r="H22" s="12">
        <f>BC_THUC_NHAN!F18-SUMIFS(RAW_MB51!$I:$I, RAW_MB51!$A:$A, $B22, RAW_MB51!$J:$J, H$9)</f>
        <v/>
      </c>
      <c r="I22" s="12">
        <f>BC_THUC_NHAN!G18-SUMIFS(RAW_MB51!$I:$I, RAW_MB51!$A:$A, $B22, RAW_MB51!$J:$J, I$9)</f>
        <v/>
      </c>
      <c r="J22" s="12">
        <f>BC_THUC_NHAN!H18-SUMIFS(RAW_MB51!$I:$I, RAW_MB51!$A:$A, $B22, RAW_MB51!$J:$J, J$9)</f>
        <v/>
      </c>
      <c r="K22" s="12">
        <f>BC_THUC_NHAN!I18-SUMIFS(RAW_MB51!$I:$I, RAW_MB51!$A:$A, $B22, RAW_MB51!$J:$J, K$9)</f>
        <v/>
      </c>
      <c r="L22" s="12">
        <f>BC_THUC_NHAN!J18-SUMIFS(RAW_MB51!$I:$I, RAW_MB51!$A:$A, $B22, RAW_MB51!$J:$J, L$9)</f>
        <v/>
      </c>
      <c r="M22" s="12">
        <f>BC_THUC_NHAN!K18-SUMIFS(RAW_MB51!$I:$I, RAW_MB51!$A:$A, $B22, RAW_MB51!$J:$J, M$9)</f>
        <v/>
      </c>
      <c r="N22" s="12">
        <f>BC_THUC_NHAN!L18-SUMIFS(RAW_MB51!$I:$I, RAW_MB51!$A:$A, $B22, RAW_MB51!$J:$J, N$9)</f>
        <v/>
      </c>
      <c r="O22" s="12">
        <f>BC_THUC_NHAN!M18-SUMIFS(RAW_MB51!$I:$I, RAW_MB51!$A:$A, $B22, RAW_MB51!$J:$J, O$9)</f>
        <v/>
      </c>
      <c r="P22" s="8">
        <f>IF(G22=0, "✔ Khớp", IF(G22&lt;0, "❌ Thiếu " &amp; TEXT(ABS(G22), "#,##0"), "⚠ Dư " &amp; TEXT(G22, "#,##0")))</f>
        <v/>
      </c>
    </row>
    <row r="23">
      <c r="A23" s="8" t="n">
        <v>14</v>
      </c>
      <c r="B23" s="9" t="inlineStr">
        <is>
          <t>BIW30002057</t>
        </is>
      </c>
      <c r="C23" s="4" t="inlineStr">
        <is>
          <t>ASSY_PNL_CTR_PLR_INR_LH</t>
        </is>
      </c>
      <c r="D23" s="4" t="inlineStr">
        <is>
          <t>VF8 - SIL</t>
        </is>
      </c>
      <c r="E23" s="10">
        <f>SUMIFS(RAW_MB51!$I:$I, RAW_MB51!$A:$A, $B23)</f>
        <v/>
      </c>
      <c r="F23" s="10">
        <f>BC_THUC_NHAN!E19</f>
        <v/>
      </c>
      <c r="G23" s="11">
        <f>F23-E23</f>
        <v/>
      </c>
      <c r="H23" s="12">
        <f>BC_THUC_NHAN!F19-SUMIFS(RAW_MB51!$I:$I, RAW_MB51!$A:$A, $B23, RAW_MB51!$J:$J, H$9)</f>
        <v/>
      </c>
      <c r="I23" s="12">
        <f>BC_THUC_NHAN!G19-SUMIFS(RAW_MB51!$I:$I, RAW_MB51!$A:$A, $B23, RAW_MB51!$J:$J, I$9)</f>
        <v/>
      </c>
      <c r="J23" s="12">
        <f>BC_THUC_NHAN!H19-SUMIFS(RAW_MB51!$I:$I, RAW_MB51!$A:$A, $B23, RAW_MB51!$J:$J, J$9)</f>
        <v/>
      </c>
      <c r="K23" s="12">
        <f>BC_THUC_NHAN!I19-SUMIFS(RAW_MB51!$I:$I, RAW_MB51!$A:$A, $B23, RAW_MB51!$J:$J, K$9)</f>
        <v/>
      </c>
      <c r="L23" s="12">
        <f>BC_THUC_NHAN!J19-SUMIFS(RAW_MB51!$I:$I, RAW_MB51!$A:$A, $B23, RAW_MB51!$J:$J, L$9)</f>
        <v/>
      </c>
      <c r="M23" s="12">
        <f>BC_THUC_NHAN!K19-SUMIFS(RAW_MB51!$I:$I, RAW_MB51!$A:$A, $B23, RAW_MB51!$J:$J, M$9)</f>
        <v/>
      </c>
      <c r="N23" s="12">
        <f>BC_THUC_NHAN!L19-SUMIFS(RAW_MB51!$I:$I, RAW_MB51!$A:$A, $B23, RAW_MB51!$J:$J, N$9)</f>
        <v/>
      </c>
      <c r="O23" s="12">
        <f>BC_THUC_NHAN!M19-SUMIFS(RAW_MB51!$I:$I, RAW_MB51!$A:$A, $B23, RAW_MB51!$J:$J, O$9)</f>
        <v/>
      </c>
      <c r="P23" s="8">
        <f>IF(G23=0, "✔ Khớp", IF(G23&lt;0, "❌ Thiếu " &amp; TEXT(ABS(G23), "#,##0"), "⚠ Dư " &amp; TEXT(G23, "#,##0")))</f>
        <v/>
      </c>
    </row>
    <row r="24">
      <c r="A24" s="8" t="n">
        <v>15</v>
      </c>
      <c r="B24" s="9" t="inlineStr">
        <is>
          <t>BIW30002062</t>
        </is>
      </c>
      <c r="C24" s="4" t="inlineStr">
        <is>
          <t>ASSY_PNL_QTR_INR_LH</t>
        </is>
      </c>
      <c r="D24" s="4" t="inlineStr">
        <is>
          <t>VF8 - SIL</t>
        </is>
      </c>
      <c r="E24" s="10">
        <f>SUMIFS(RAW_MB51!$I:$I, RAW_MB51!$A:$A, $B24)</f>
        <v/>
      </c>
      <c r="F24" s="10">
        <f>BC_THUC_NHAN!E20</f>
        <v/>
      </c>
      <c r="G24" s="11">
        <f>F24-E24</f>
        <v/>
      </c>
      <c r="H24" s="12">
        <f>BC_THUC_NHAN!F20-SUMIFS(RAW_MB51!$I:$I, RAW_MB51!$A:$A, $B24, RAW_MB51!$J:$J, H$9)</f>
        <v/>
      </c>
      <c r="I24" s="12">
        <f>BC_THUC_NHAN!G20-SUMIFS(RAW_MB51!$I:$I, RAW_MB51!$A:$A, $B24, RAW_MB51!$J:$J, I$9)</f>
        <v/>
      </c>
      <c r="J24" s="12">
        <f>BC_THUC_NHAN!H20-SUMIFS(RAW_MB51!$I:$I, RAW_MB51!$A:$A, $B24, RAW_MB51!$J:$J, J$9)</f>
        <v/>
      </c>
      <c r="K24" s="12">
        <f>BC_THUC_NHAN!I20-SUMIFS(RAW_MB51!$I:$I, RAW_MB51!$A:$A, $B24, RAW_MB51!$J:$J, K$9)</f>
        <v/>
      </c>
      <c r="L24" s="12">
        <f>BC_THUC_NHAN!J20-SUMIFS(RAW_MB51!$I:$I, RAW_MB51!$A:$A, $B24, RAW_MB51!$J:$J, L$9)</f>
        <v/>
      </c>
      <c r="M24" s="12">
        <f>BC_THUC_NHAN!K20-SUMIFS(RAW_MB51!$I:$I, RAW_MB51!$A:$A, $B24, RAW_MB51!$J:$J, M$9)</f>
        <v/>
      </c>
      <c r="N24" s="12">
        <f>BC_THUC_NHAN!L20-SUMIFS(RAW_MB51!$I:$I, RAW_MB51!$A:$A, $B24, RAW_MB51!$J:$J, N$9)</f>
        <v/>
      </c>
      <c r="O24" s="12">
        <f>BC_THUC_NHAN!M20-SUMIFS(RAW_MB51!$I:$I, RAW_MB51!$A:$A, $B24, RAW_MB51!$J:$J, O$9)</f>
        <v/>
      </c>
      <c r="P24" s="8">
        <f>IF(G24=0, "✔ Khớp", IF(G24&lt;0, "❌ Thiếu " &amp; TEXT(ABS(G24), "#,##0"), "⚠ Dư " &amp; TEXT(G24, "#,##0")))</f>
        <v/>
      </c>
    </row>
    <row r="25">
      <c r="A25" s="8" t="n">
        <v>16</v>
      </c>
      <c r="B25" s="9" t="inlineStr">
        <is>
          <t>BIW30002064</t>
        </is>
      </c>
      <c r="C25" s="4" t="inlineStr">
        <is>
          <t>ASSY_EXT_QTR_INR_UPR_LH</t>
        </is>
      </c>
      <c r="D25" s="4" t="inlineStr">
        <is>
          <t>VF8 - SIL</t>
        </is>
      </c>
      <c r="E25" s="10">
        <f>SUMIFS(RAW_MB51!$I:$I, RAW_MB51!$A:$A, $B25)</f>
        <v/>
      </c>
      <c r="F25" s="10">
        <f>BC_THUC_NHAN!E21</f>
        <v/>
      </c>
      <c r="G25" s="11">
        <f>F25-E25</f>
        <v/>
      </c>
      <c r="H25" s="12">
        <f>BC_THUC_NHAN!F21-SUMIFS(RAW_MB51!$I:$I, RAW_MB51!$A:$A, $B25, RAW_MB51!$J:$J, H$9)</f>
        <v/>
      </c>
      <c r="I25" s="12">
        <f>BC_THUC_NHAN!G21-SUMIFS(RAW_MB51!$I:$I, RAW_MB51!$A:$A, $B25, RAW_MB51!$J:$J, I$9)</f>
        <v/>
      </c>
      <c r="J25" s="12">
        <f>BC_THUC_NHAN!H21-SUMIFS(RAW_MB51!$I:$I, RAW_MB51!$A:$A, $B25, RAW_MB51!$J:$J, J$9)</f>
        <v/>
      </c>
      <c r="K25" s="12">
        <f>BC_THUC_NHAN!I21-SUMIFS(RAW_MB51!$I:$I, RAW_MB51!$A:$A, $B25, RAW_MB51!$J:$J, K$9)</f>
        <v/>
      </c>
      <c r="L25" s="12">
        <f>BC_THUC_NHAN!J21-SUMIFS(RAW_MB51!$I:$I, RAW_MB51!$A:$A, $B25, RAW_MB51!$J:$J, L$9)</f>
        <v/>
      </c>
      <c r="M25" s="12">
        <f>BC_THUC_NHAN!K21-SUMIFS(RAW_MB51!$I:$I, RAW_MB51!$A:$A, $B25, RAW_MB51!$J:$J, M$9)</f>
        <v/>
      </c>
      <c r="N25" s="12">
        <f>BC_THUC_NHAN!L21-SUMIFS(RAW_MB51!$I:$I, RAW_MB51!$A:$A, $B25, RAW_MB51!$J:$J, N$9)</f>
        <v/>
      </c>
      <c r="O25" s="12">
        <f>BC_THUC_NHAN!M21-SUMIFS(RAW_MB51!$I:$I, RAW_MB51!$A:$A, $B25, RAW_MB51!$J:$J, O$9)</f>
        <v/>
      </c>
      <c r="P25" s="8">
        <f>IF(G25=0, "✔ Khớp", IF(G25&lt;0, "❌ Thiếu " &amp; TEXT(ABS(G25), "#,##0"), "⚠ Dư " &amp; TEXT(G25, "#,##0")))</f>
        <v/>
      </c>
    </row>
    <row r="26">
      <c r="A26" s="8" t="n">
        <v>17</v>
      </c>
      <c r="B26" s="9" t="inlineStr">
        <is>
          <t>BIW30002111</t>
        </is>
      </c>
      <c r="C26" s="4" t="inlineStr">
        <is>
          <t>ASSY_PNL_FR_PLR_INR_UPR_LH</t>
        </is>
      </c>
      <c r="D26" s="4" t="inlineStr">
        <is>
          <t>VF8 - SIL</t>
        </is>
      </c>
      <c r="E26" s="10">
        <f>SUMIFS(RAW_MB51!$I:$I, RAW_MB51!$A:$A, $B26)</f>
        <v/>
      </c>
      <c r="F26" s="10">
        <f>BC_THUC_NHAN!E22</f>
        <v/>
      </c>
      <c r="G26" s="11">
        <f>F26-E26</f>
        <v/>
      </c>
      <c r="H26" s="12">
        <f>BC_THUC_NHAN!F22-SUMIFS(RAW_MB51!$I:$I, RAW_MB51!$A:$A, $B26, RAW_MB51!$J:$J, H$9)</f>
        <v/>
      </c>
      <c r="I26" s="12">
        <f>BC_THUC_NHAN!G22-SUMIFS(RAW_MB51!$I:$I, RAW_MB51!$A:$A, $B26, RAW_MB51!$J:$J, I$9)</f>
        <v/>
      </c>
      <c r="J26" s="12">
        <f>BC_THUC_NHAN!H22-SUMIFS(RAW_MB51!$I:$I, RAW_MB51!$A:$A, $B26, RAW_MB51!$J:$J, J$9)</f>
        <v/>
      </c>
      <c r="K26" s="12">
        <f>BC_THUC_NHAN!I22-SUMIFS(RAW_MB51!$I:$I, RAW_MB51!$A:$A, $B26, RAW_MB51!$J:$J, K$9)</f>
        <v/>
      </c>
      <c r="L26" s="12">
        <f>BC_THUC_NHAN!J22-SUMIFS(RAW_MB51!$I:$I, RAW_MB51!$A:$A, $B26, RAW_MB51!$J:$J, L$9)</f>
        <v/>
      </c>
      <c r="M26" s="12">
        <f>BC_THUC_NHAN!K22-SUMIFS(RAW_MB51!$I:$I, RAW_MB51!$A:$A, $B26, RAW_MB51!$J:$J, M$9)</f>
        <v/>
      </c>
      <c r="N26" s="12">
        <f>BC_THUC_NHAN!L22-SUMIFS(RAW_MB51!$I:$I, RAW_MB51!$A:$A, $B26, RAW_MB51!$J:$J, N$9)</f>
        <v/>
      </c>
      <c r="O26" s="12">
        <f>BC_THUC_NHAN!M22-SUMIFS(RAW_MB51!$I:$I, RAW_MB51!$A:$A, $B26, RAW_MB51!$J:$J, O$9)</f>
        <v/>
      </c>
      <c r="P26" s="8">
        <f>IF(G26=0, "✔ Khớp", IF(G26&lt;0, "❌ Thiếu " &amp; TEXT(ABS(G26), "#,##0"), "⚠ Dư " &amp; TEXT(G26, "#,##0")))</f>
        <v/>
      </c>
    </row>
    <row r="27">
      <c r="A27" s="8" t="n">
        <v>18</v>
      </c>
      <c r="B27" s="9" t="inlineStr">
        <is>
          <t>BIW30002112</t>
        </is>
      </c>
      <c r="C27" s="4" t="inlineStr">
        <is>
          <t>ASSY_PANEL_SIDE_BODY_UP_INNER_LH</t>
        </is>
      </c>
      <c r="D27" s="4" t="inlineStr">
        <is>
          <t>VF8 - SIL</t>
        </is>
      </c>
      <c r="E27" s="10">
        <f>SUMIFS(RAW_MB51!$I:$I, RAW_MB51!$A:$A, $B27)</f>
        <v/>
      </c>
      <c r="F27" s="10">
        <f>BC_THUC_NHAN!E23</f>
        <v/>
      </c>
      <c r="G27" s="11">
        <f>F27-E27</f>
        <v/>
      </c>
      <c r="H27" s="12">
        <f>BC_THUC_NHAN!F23-SUMIFS(RAW_MB51!$I:$I, RAW_MB51!$A:$A, $B27, RAW_MB51!$J:$J, H$9)</f>
        <v/>
      </c>
      <c r="I27" s="12">
        <f>BC_THUC_NHAN!G23-SUMIFS(RAW_MB51!$I:$I, RAW_MB51!$A:$A, $B27, RAW_MB51!$J:$J, I$9)</f>
        <v/>
      </c>
      <c r="J27" s="12">
        <f>BC_THUC_NHAN!H23-SUMIFS(RAW_MB51!$I:$I, RAW_MB51!$A:$A, $B27, RAW_MB51!$J:$J, J$9)</f>
        <v/>
      </c>
      <c r="K27" s="12">
        <f>BC_THUC_NHAN!I23-SUMIFS(RAW_MB51!$I:$I, RAW_MB51!$A:$A, $B27, RAW_MB51!$J:$J, K$9)</f>
        <v/>
      </c>
      <c r="L27" s="12">
        <f>BC_THUC_NHAN!J23-SUMIFS(RAW_MB51!$I:$I, RAW_MB51!$A:$A, $B27, RAW_MB51!$J:$J, L$9)</f>
        <v/>
      </c>
      <c r="M27" s="12">
        <f>BC_THUC_NHAN!K23-SUMIFS(RAW_MB51!$I:$I, RAW_MB51!$A:$A, $B27, RAW_MB51!$J:$J, M$9)</f>
        <v/>
      </c>
      <c r="N27" s="12">
        <f>BC_THUC_NHAN!L23-SUMIFS(RAW_MB51!$I:$I, RAW_MB51!$A:$A, $B27, RAW_MB51!$J:$J, N$9)</f>
        <v/>
      </c>
      <c r="O27" s="12">
        <f>BC_THUC_NHAN!M23-SUMIFS(RAW_MB51!$I:$I, RAW_MB51!$A:$A, $B27, RAW_MB51!$J:$J, O$9)</f>
        <v/>
      </c>
      <c r="P27" s="8">
        <f>IF(G27=0, "✔ Khớp", IF(G27&lt;0, "❌ Thiếu " &amp; TEXT(ABS(G27), "#,##0"), "⚠ Dư " &amp; TEXT(G27, "#,##0")))</f>
        <v/>
      </c>
    </row>
    <row r="28">
      <c r="A28" s="8" t="n">
        <v>19</v>
      </c>
      <c r="B28" s="9" t="inlineStr">
        <is>
          <t>BIW30002158</t>
        </is>
      </c>
      <c r="C28" s="4" t="inlineStr">
        <is>
          <t>ASSY_REINF_FR_PLR_LWR_LH</t>
        </is>
      </c>
      <c r="D28" s="4" t="inlineStr">
        <is>
          <t>VF8 - SIL</t>
        </is>
      </c>
      <c r="E28" s="10">
        <f>SUMIFS(RAW_MB51!$I:$I, RAW_MB51!$A:$A, $B28)</f>
        <v/>
      </c>
      <c r="F28" s="10">
        <f>BC_THUC_NHAN!E24</f>
        <v/>
      </c>
      <c r="G28" s="11">
        <f>F28-E28</f>
        <v/>
      </c>
      <c r="H28" s="12">
        <f>BC_THUC_NHAN!F24-SUMIFS(RAW_MB51!$I:$I, RAW_MB51!$A:$A, $B28, RAW_MB51!$J:$J, H$9)</f>
        <v/>
      </c>
      <c r="I28" s="12">
        <f>BC_THUC_NHAN!G24-SUMIFS(RAW_MB51!$I:$I, RAW_MB51!$A:$A, $B28, RAW_MB51!$J:$J, I$9)</f>
        <v/>
      </c>
      <c r="J28" s="12">
        <f>BC_THUC_NHAN!H24-SUMIFS(RAW_MB51!$I:$I, RAW_MB51!$A:$A, $B28, RAW_MB51!$J:$J, J$9)</f>
        <v/>
      </c>
      <c r="K28" s="12">
        <f>BC_THUC_NHAN!I24-SUMIFS(RAW_MB51!$I:$I, RAW_MB51!$A:$A, $B28, RAW_MB51!$J:$J, K$9)</f>
        <v/>
      </c>
      <c r="L28" s="12">
        <f>BC_THUC_NHAN!J24-SUMIFS(RAW_MB51!$I:$I, RAW_MB51!$A:$A, $B28, RAW_MB51!$J:$J, L$9)</f>
        <v/>
      </c>
      <c r="M28" s="12">
        <f>BC_THUC_NHAN!K24-SUMIFS(RAW_MB51!$I:$I, RAW_MB51!$A:$A, $B28, RAW_MB51!$J:$J, M$9)</f>
        <v/>
      </c>
      <c r="N28" s="12">
        <f>BC_THUC_NHAN!L24-SUMIFS(RAW_MB51!$I:$I, RAW_MB51!$A:$A, $B28, RAW_MB51!$J:$J, N$9)</f>
        <v/>
      </c>
      <c r="O28" s="12">
        <f>BC_THUC_NHAN!M24-SUMIFS(RAW_MB51!$I:$I, RAW_MB51!$A:$A, $B28, RAW_MB51!$J:$J, O$9)</f>
        <v/>
      </c>
      <c r="P28" s="8">
        <f>IF(G28=0, "✔ Khớp", IF(G28&lt;0, "❌ Thiếu " &amp; TEXT(ABS(G28), "#,##0"), "⚠ Dư " &amp; TEXT(G28, "#,##0")))</f>
        <v/>
      </c>
    </row>
    <row r="29">
      <c r="A29" s="8" t="n">
        <v>20</v>
      </c>
      <c r="B29" s="9" t="inlineStr">
        <is>
          <t>BIW30003071</t>
        </is>
      </c>
      <c r="C29" s="4" t="inlineStr">
        <is>
          <t>ASSY_PNL_FR_PLR_INR_UPR_RH</t>
        </is>
      </c>
      <c r="D29" s="4" t="inlineStr">
        <is>
          <t>VF8 - SIR</t>
        </is>
      </c>
      <c r="E29" s="10">
        <f>SUMIFS(RAW_MB51!$I:$I, RAW_MB51!$A:$A, $B29)</f>
        <v/>
      </c>
      <c r="F29" s="10">
        <f>BC_THUC_NHAN!E25</f>
        <v/>
      </c>
      <c r="G29" s="11">
        <f>F29-E29</f>
        <v/>
      </c>
      <c r="H29" s="12">
        <f>BC_THUC_NHAN!F25-SUMIFS(RAW_MB51!$I:$I, RAW_MB51!$A:$A, $B29, RAW_MB51!$J:$J, H$9)</f>
        <v/>
      </c>
      <c r="I29" s="12">
        <f>BC_THUC_NHAN!G25-SUMIFS(RAW_MB51!$I:$I, RAW_MB51!$A:$A, $B29, RAW_MB51!$J:$J, I$9)</f>
        <v/>
      </c>
      <c r="J29" s="12">
        <f>BC_THUC_NHAN!H25-SUMIFS(RAW_MB51!$I:$I, RAW_MB51!$A:$A, $B29, RAW_MB51!$J:$J, J$9)</f>
        <v/>
      </c>
      <c r="K29" s="12">
        <f>BC_THUC_NHAN!I25-SUMIFS(RAW_MB51!$I:$I, RAW_MB51!$A:$A, $B29, RAW_MB51!$J:$J, K$9)</f>
        <v/>
      </c>
      <c r="L29" s="12">
        <f>BC_THUC_NHAN!J25-SUMIFS(RAW_MB51!$I:$I, RAW_MB51!$A:$A, $B29, RAW_MB51!$J:$J, L$9)</f>
        <v/>
      </c>
      <c r="M29" s="12">
        <f>BC_THUC_NHAN!K25-SUMIFS(RAW_MB51!$I:$I, RAW_MB51!$A:$A, $B29, RAW_MB51!$J:$J, M$9)</f>
        <v/>
      </c>
      <c r="N29" s="12">
        <f>BC_THUC_NHAN!L25-SUMIFS(RAW_MB51!$I:$I, RAW_MB51!$A:$A, $B29, RAW_MB51!$J:$J, N$9)</f>
        <v/>
      </c>
      <c r="O29" s="12">
        <f>BC_THUC_NHAN!M25-SUMIFS(RAW_MB51!$I:$I, RAW_MB51!$A:$A, $B29, RAW_MB51!$J:$J, O$9)</f>
        <v/>
      </c>
      <c r="P29" s="8">
        <f>IF(G29=0, "✔ Khớp", IF(G29&lt;0, "❌ Thiếu " &amp; TEXT(ABS(G29), "#,##0"), "⚠ Dư " &amp; TEXT(G29, "#,##0")))</f>
        <v/>
      </c>
    </row>
    <row r="30">
      <c r="A30" s="8" t="n">
        <v>21</v>
      </c>
      <c r="B30" s="9" t="inlineStr">
        <is>
          <t>BIW30003072</t>
        </is>
      </c>
      <c r="C30" s="4" t="inlineStr">
        <is>
          <t>ASSY_PANEL_SIDE_BODY_UP_INNER_RH</t>
        </is>
      </c>
      <c r="D30" s="4" t="inlineStr">
        <is>
          <t>VF8 - SIR</t>
        </is>
      </c>
      <c r="E30" s="10">
        <f>SUMIFS(RAW_MB51!$I:$I, RAW_MB51!$A:$A, $B30)</f>
        <v/>
      </c>
      <c r="F30" s="10">
        <f>BC_THUC_NHAN!E26</f>
        <v/>
      </c>
      <c r="G30" s="11">
        <f>F30-E30</f>
        <v/>
      </c>
      <c r="H30" s="12">
        <f>BC_THUC_NHAN!F26-SUMIFS(RAW_MB51!$I:$I, RAW_MB51!$A:$A, $B30, RAW_MB51!$J:$J, H$9)</f>
        <v/>
      </c>
      <c r="I30" s="12">
        <f>BC_THUC_NHAN!G26-SUMIFS(RAW_MB51!$I:$I, RAW_MB51!$A:$A, $B30, RAW_MB51!$J:$J, I$9)</f>
        <v/>
      </c>
      <c r="J30" s="12">
        <f>BC_THUC_NHAN!H26-SUMIFS(RAW_MB51!$I:$I, RAW_MB51!$A:$A, $B30, RAW_MB51!$J:$J, J$9)</f>
        <v/>
      </c>
      <c r="K30" s="12">
        <f>BC_THUC_NHAN!I26-SUMIFS(RAW_MB51!$I:$I, RAW_MB51!$A:$A, $B30, RAW_MB51!$J:$J, K$9)</f>
        <v/>
      </c>
      <c r="L30" s="12">
        <f>BC_THUC_NHAN!J26-SUMIFS(RAW_MB51!$I:$I, RAW_MB51!$A:$A, $B30, RAW_MB51!$J:$J, L$9)</f>
        <v/>
      </c>
      <c r="M30" s="12">
        <f>BC_THUC_NHAN!K26-SUMIFS(RAW_MB51!$I:$I, RAW_MB51!$A:$A, $B30, RAW_MB51!$J:$J, M$9)</f>
        <v/>
      </c>
      <c r="N30" s="12">
        <f>BC_THUC_NHAN!L26-SUMIFS(RAW_MB51!$I:$I, RAW_MB51!$A:$A, $B30, RAW_MB51!$J:$J, N$9)</f>
        <v/>
      </c>
      <c r="O30" s="12">
        <f>BC_THUC_NHAN!M26-SUMIFS(RAW_MB51!$I:$I, RAW_MB51!$A:$A, $B30, RAW_MB51!$J:$J, O$9)</f>
        <v/>
      </c>
      <c r="P30" s="8">
        <f>IF(G30=0, "✔ Khớp", IF(G30&lt;0, "❌ Thiếu " &amp; TEXT(ABS(G30), "#,##0"), "⚠ Dư " &amp; TEXT(G30, "#,##0")))</f>
        <v/>
      </c>
    </row>
    <row r="31">
      <c r="A31" s="8" t="n">
        <v>22</v>
      </c>
      <c r="B31" s="9" t="inlineStr">
        <is>
          <t>BIW30003120</t>
        </is>
      </c>
      <c r="C31" s="4" t="inlineStr">
        <is>
          <t>ASSY_BULKHEAD_FR_PLR_UPR_RH</t>
        </is>
      </c>
      <c r="D31" s="4" t="inlineStr">
        <is>
          <t>VF8 - SOR</t>
        </is>
      </c>
      <c r="E31" s="10">
        <f>SUMIFS(RAW_MB51!$I:$I, RAW_MB51!$A:$A, $B31)</f>
        <v/>
      </c>
      <c r="F31" s="10">
        <f>BC_THUC_NHAN!E27</f>
        <v/>
      </c>
      <c r="G31" s="11">
        <f>F31-E31</f>
        <v/>
      </c>
      <c r="H31" s="12">
        <f>BC_THUC_NHAN!F27-SUMIFS(RAW_MB51!$I:$I, RAW_MB51!$A:$A, $B31, RAW_MB51!$J:$J, H$9)</f>
        <v/>
      </c>
      <c r="I31" s="12">
        <f>BC_THUC_NHAN!G27-SUMIFS(RAW_MB51!$I:$I, RAW_MB51!$A:$A, $B31, RAW_MB51!$J:$J, I$9)</f>
        <v/>
      </c>
      <c r="J31" s="12">
        <f>BC_THUC_NHAN!H27-SUMIFS(RAW_MB51!$I:$I, RAW_MB51!$A:$A, $B31, RAW_MB51!$J:$J, J$9)</f>
        <v/>
      </c>
      <c r="K31" s="12">
        <f>BC_THUC_NHAN!I27-SUMIFS(RAW_MB51!$I:$I, RAW_MB51!$A:$A, $B31, RAW_MB51!$J:$J, K$9)</f>
        <v/>
      </c>
      <c r="L31" s="12">
        <f>BC_THUC_NHAN!J27-SUMIFS(RAW_MB51!$I:$I, RAW_MB51!$A:$A, $B31, RAW_MB51!$J:$J, L$9)</f>
        <v/>
      </c>
      <c r="M31" s="12">
        <f>BC_THUC_NHAN!K27-SUMIFS(RAW_MB51!$I:$I, RAW_MB51!$A:$A, $B31, RAW_MB51!$J:$J, M$9)</f>
        <v/>
      </c>
      <c r="N31" s="12">
        <f>BC_THUC_NHAN!L27-SUMIFS(RAW_MB51!$I:$I, RAW_MB51!$A:$A, $B31, RAW_MB51!$J:$J, N$9)</f>
        <v/>
      </c>
      <c r="O31" s="12">
        <f>BC_THUC_NHAN!M27-SUMIFS(RAW_MB51!$I:$I, RAW_MB51!$A:$A, $B31, RAW_MB51!$J:$J, O$9)</f>
        <v/>
      </c>
      <c r="P31" s="8">
        <f>IF(G31=0, "✔ Khớp", IF(G31&lt;0, "❌ Thiếu " &amp; TEXT(ABS(G31), "#,##0"), "⚠ Dư " &amp; TEXT(G31, "#,##0")))</f>
        <v/>
      </c>
    </row>
    <row r="32">
      <c r="A32" s="8" t="n">
        <v>23</v>
      </c>
      <c r="B32" s="9" t="inlineStr">
        <is>
          <t>BIW30003121</t>
        </is>
      </c>
      <c r="C32" s="4" t="inlineStr">
        <is>
          <t>ASSY_REINF_FR_PLR_LWR_RH</t>
        </is>
      </c>
      <c r="D32" s="4" t="inlineStr">
        <is>
          <t>VF8 - SIR</t>
        </is>
      </c>
      <c r="E32" s="10">
        <f>SUMIFS(RAW_MB51!$I:$I, RAW_MB51!$A:$A, $B32)</f>
        <v/>
      </c>
      <c r="F32" s="10">
        <f>BC_THUC_NHAN!E28</f>
        <v/>
      </c>
      <c r="G32" s="11">
        <f>F32-E32</f>
        <v/>
      </c>
      <c r="H32" s="12">
        <f>BC_THUC_NHAN!F28-SUMIFS(RAW_MB51!$I:$I, RAW_MB51!$A:$A, $B32, RAW_MB51!$J:$J, H$9)</f>
        <v/>
      </c>
      <c r="I32" s="12">
        <f>BC_THUC_NHAN!G28-SUMIFS(RAW_MB51!$I:$I, RAW_MB51!$A:$A, $B32, RAW_MB51!$J:$J, I$9)</f>
        <v/>
      </c>
      <c r="J32" s="12">
        <f>BC_THUC_NHAN!H28-SUMIFS(RAW_MB51!$I:$I, RAW_MB51!$A:$A, $B32, RAW_MB51!$J:$J, J$9)</f>
        <v/>
      </c>
      <c r="K32" s="12">
        <f>BC_THUC_NHAN!I28-SUMIFS(RAW_MB51!$I:$I, RAW_MB51!$A:$A, $B32, RAW_MB51!$J:$J, K$9)</f>
        <v/>
      </c>
      <c r="L32" s="12">
        <f>BC_THUC_NHAN!J28-SUMIFS(RAW_MB51!$I:$I, RAW_MB51!$A:$A, $B32, RAW_MB51!$J:$J, L$9)</f>
        <v/>
      </c>
      <c r="M32" s="12">
        <f>BC_THUC_NHAN!K28-SUMIFS(RAW_MB51!$I:$I, RAW_MB51!$A:$A, $B32, RAW_MB51!$J:$J, M$9)</f>
        <v/>
      </c>
      <c r="N32" s="12">
        <f>BC_THUC_NHAN!L28-SUMIFS(RAW_MB51!$I:$I, RAW_MB51!$A:$A, $B32, RAW_MB51!$J:$J, N$9)</f>
        <v/>
      </c>
      <c r="O32" s="12">
        <f>BC_THUC_NHAN!M28-SUMIFS(RAW_MB51!$I:$I, RAW_MB51!$A:$A, $B32, RAW_MB51!$J:$J, O$9)</f>
        <v/>
      </c>
      <c r="P32" s="8">
        <f>IF(G32=0, "✔ Khớp", IF(G32&lt;0, "❌ Thiếu " &amp; TEXT(ABS(G32), "#,##0"), "⚠ Dư " &amp; TEXT(G32, "#,##0")))</f>
        <v/>
      </c>
    </row>
    <row r="33">
      <c r="A33" s="8" t="n">
        <v>24</v>
      </c>
      <c r="B33" s="9" t="inlineStr">
        <is>
          <t>BIW30003130</t>
        </is>
      </c>
      <c r="C33" s="4" t="inlineStr">
        <is>
          <t>ASSY_BULKHEAD_FR_PLR_LWR_RH</t>
        </is>
      </c>
      <c r="D33" s="4" t="inlineStr">
        <is>
          <t>VF8 - SOR</t>
        </is>
      </c>
      <c r="E33" s="10">
        <f>SUMIFS(RAW_MB51!$I:$I, RAW_MB51!$A:$A, $B33)</f>
        <v/>
      </c>
      <c r="F33" s="10">
        <f>BC_THUC_NHAN!E29</f>
        <v/>
      </c>
      <c r="G33" s="11">
        <f>F33-E33</f>
        <v/>
      </c>
      <c r="H33" s="12">
        <f>BC_THUC_NHAN!F29-SUMIFS(RAW_MB51!$I:$I, RAW_MB51!$A:$A, $B33, RAW_MB51!$J:$J, H$9)</f>
        <v/>
      </c>
      <c r="I33" s="12">
        <f>BC_THUC_NHAN!G29-SUMIFS(RAW_MB51!$I:$I, RAW_MB51!$A:$A, $B33, RAW_MB51!$J:$J, I$9)</f>
        <v/>
      </c>
      <c r="J33" s="12">
        <f>BC_THUC_NHAN!H29-SUMIFS(RAW_MB51!$I:$I, RAW_MB51!$A:$A, $B33, RAW_MB51!$J:$J, J$9)</f>
        <v/>
      </c>
      <c r="K33" s="12">
        <f>BC_THUC_NHAN!I29-SUMIFS(RAW_MB51!$I:$I, RAW_MB51!$A:$A, $B33, RAW_MB51!$J:$J, K$9)</f>
        <v/>
      </c>
      <c r="L33" s="12">
        <f>BC_THUC_NHAN!J29-SUMIFS(RAW_MB51!$I:$I, RAW_MB51!$A:$A, $B33, RAW_MB51!$J:$J, L$9)</f>
        <v/>
      </c>
      <c r="M33" s="12">
        <f>BC_THUC_NHAN!K29-SUMIFS(RAW_MB51!$I:$I, RAW_MB51!$A:$A, $B33, RAW_MB51!$J:$J, M$9)</f>
        <v/>
      </c>
      <c r="N33" s="12">
        <f>BC_THUC_NHAN!L29-SUMIFS(RAW_MB51!$I:$I, RAW_MB51!$A:$A, $B33, RAW_MB51!$J:$J, N$9)</f>
        <v/>
      </c>
      <c r="O33" s="12">
        <f>BC_THUC_NHAN!M29-SUMIFS(RAW_MB51!$I:$I, RAW_MB51!$A:$A, $B33, RAW_MB51!$J:$J, O$9)</f>
        <v/>
      </c>
      <c r="P33" s="8">
        <f>IF(G33=0, "✔ Khớp", IF(G33&lt;0, "❌ Thiếu " &amp; TEXT(ABS(G33), "#,##0"), "⚠ Dư " &amp; TEXT(G33, "#,##0")))</f>
        <v/>
      </c>
    </row>
    <row r="34">
      <c r="A34" s="8" t="n">
        <v>25</v>
      </c>
      <c r="B34" s="9" t="inlineStr">
        <is>
          <t>BIW30003250</t>
        </is>
      </c>
      <c r="C34" s="4" t="inlineStr">
        <is>
          <t>ASSY_PNL_CTR_PLR_INR_RH</t>
        </is>
      </c>
      <c r="D34" s="4" t="inlineStr">
        <is>
          <t>VF8 - SIR</t>
        </is>
      </c>
      <c r="E34" s="10">
        <f>SUMIFS(RAW_MB51!$I:$I, RAW_MB51!$A:$A, $B34)</f>
        <v/>
      </c>
      <c r="F34" s="10">
        <f>BC_THUC_NHAN!E30</f>
        <v/>
      </c>
      <c r="G34" s="11">
        <f>F34-E34</f>
        <v/>
      </c>
      <c r="H34" s="12">
        <f>BC_THUC_NHAN!F30-SUMIFS(RAW_MB51!$I:$I, RAW_MB51!$A:$A, $B34, RAW_MB51!$J:$J, H$9)</f>
        <v/>
      </c>
      <c r="I34" s="12">
        <f>BC_THUC_NHAN!G30-SUMIFS(RAW_MB51!$I:$I, RAW_MB51!$A:$A, $B34, RAW_MB51!$J:$J, I$9)</f>
        <v/>
      </c>
      <c r="J34" s="12">
        <f>BC_THUC_NHAN!H30-SUMIFS(RAW_MB51!$I:$I, RAW_MB51!$A:$A, $B34, RAW_MB51!$J:$J, J$9)</f>
        <v/>
      </c>
      <c r="K34" s="12">
        <f>BC_THUC_NHAN!I30-SUMIFS(RAW_MB51!$I:$I, RAW_MB51!$A:$A, $B34, RAW_MB51!$J:$J, K$9)</f>
        <v/>
      </c>
      <c r="L34" s="12">
        <f>BC_THUC_NHAN!J30-SUMIFS(RAW_MB51!$I:$I, RAW_MB51!$A:$A, $B34, RAW_MB51!$J:$J, L$9)</f>
        <v/>
      </c>
      <c r="M34" s="12">
        <f>BC_THUC_NHAN!K30-SUMIFS(RAW_MB51!$I:$I, RAW_MB51!$A:$A, $B34, RAW_MB51!$J:$J, M$9)</f>
        <v/>
      </c>
      <c r="N34" s="12">
        <f>BC_THUC_NHAN!L30-SUMIFS(RAW_MB51!$I:$I, RAW_MB51!$A:$A, $B34, RAW_MB51!$J:$J, N$9)</f>
        <v/>
      </c>
      <c r="O34" s="12">
        <f>BC_THUC_NHAN!M30-SUMIFS(RAW_MB51!$I:$I, RAW_MB51!$A:$A, $B34, RAW_MB51!$J:$J, O$9)</f>
        <v/>
      </c>
      <c r="P34" s="8">
        <f>IF(G34=0, "✔ Khớp", IF(G34&lt;0, "❌ Thiếu " &amp; TEXT(ABS(G34), "#,##0"), "⚠ Dư " &amp; TEXT(G34, "#,##0")))</f>
        <v/>
      </c>
    </row>
    <row r="35">
      <c r="A35" s="13" t="inlineStr"/>
      <c r="B35" s="14" t="inlineStr">
        <is>
          <t>TỔNG CỘNG</t>
        </is>
      </c>
      <c r="C35" s="13" t="n"/>
      <c r="D35" s="13" t="n"/>
      <c r="E35" s="15">
        <f>SUM(E10:E34)</f>
        <v/>
      </c>
      <c r="F35" s="15">
        <f>SUM(F10:F34)</f>
        <v/>
      </c>
      <c r="G35" s="16">
        <f>SUM(G10:G34)</f>
        <v/>
      </c>
      <c r="H35" s="16">
        <f>SUM(H10:H34)</f>
        <v/>
      </c>
      <c r="I35" s="16">
        <f>SUM(I10:I34)</f>
        <v/>
      </c>
      <c r="J35" s="16">
        <f>SUM(J10:J34)</f>
        <v/>
      </c>
      <c r="K35" s="16">
        <f>SUM(K10:K34)</f>
        <v/>
      </c>
      <c r="L35" s="16">
        <f>SUM(L10:L34)</f>
        <v/>
      </c>
      <c r="M35" s="16">
        <f>SUM(M10:M34)</f>
        <v/>
      </c>
      <c r="N35" s="16">
        <f>SUM(N10:N34)</f>
        <v/>
      </c>
      <c r="O35" s="16">
        <f>SUM(O10:O34)</f>
        <v/>
      </c>
      <c r="P35" s="13" t="n"/>
    </row>
  </sheetData>
  <mergeCells count="6">
    <mergeCell ref="B6:C6"/>
    <mergeCell ref="E6:F6"/>
    <mergeCell ref="H6:I6"/>
    <mergeCell ref="B5:C5"/>
    <mergeCell ref="E5:F5"/>
    <mergeCell ref="H5:I5"/>
  </mergeCells>
  <conditionalFormatting sqref="G10:O3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2:M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2">
      <c r="B2" s="1" t="inlineStr">
        <is>
          <t>BÁO CÁO TIẾN ĐỘ THỰC NHẬN TẠI LINE (SHOPFLOOR PACKING)</t>
        </is>
      </c>
    </row>
    <row r="3">
      <c r="B3" s="2" t="inlineStr">
        <is>
          <t>Ngày: 23/10/2026 | Ca: Ca 1 (06:00 - 14:00) | Đơn vị: Cái (PCS)</t>
        </is>
      </c>
    </row>
    <row r="5">
      <c r="A5" s="20" t="inlineStr">
        <is>
          <t>STT</t>
        </is>
      </c>
      <c r="B5" s="20" t="inlineStr">
        <is>
          <t>Mã vật tư (Material)</t>
        </is>
      </c>
      <c r="C5" s="20" t="inlineStr">
        <is>
          <t>Tên vật tư (Description)</t>
        </is>
      </c>
      <c r="D5" s="20" t="inlineStr">
        <is>
          <t>Model / Line</t>
        </is>
      </c>
      <c r="E5" s="20" t="inlineStr">
        <is>
          <t>TỔNG NHẬN CẢ CA</t>
        </is>
      </c>
      <c r="F5" s="20" t="inlineStr">
        <is>
          <t>06:00-07:00</t>
        </is>
      </c>
      <c r="G5" s="20" t="inlineStr">
        <is>
          <t>07:00-08:00</t>
        </is>
      </c>
      <c r="H5" s="20" t="inlineStr">
        <is>
          <t>08:00-09:00</t>
        </is>
      </c>
      <c r="I5" s="20" t="inlineStr">
        <is>
          <t>09:00-10:00</t>
        </is>
      </c>
      <c r="J5" s="20" t="inlineStr">
        <is>
          <t>10:00-11:00</t>
        </is>
      </c>
      <c r="K5" s="20" t="inlineStr">
        <is>
          <t>11:00-12:00</t>
        </is>
      </c>
      <c r="L5" s="20" t="inlineStr">
        <is>
          <t>12:00-13:00</t>
        </is>
      </c>
      <c r="M5" s="20" t="inlineStr">
        <is>
          <t>13:00-14:00</t>
        </is>
      </c>
    </row>
    <row r="6">
      <c r="A6" s="8" t="n">
        <v>1</v>
      </c>
      <c r="B6" s="9" t="inlineStr">
        <is>
          <t>BIW20005484</t>
        </is>
      </c>
      <c r="C6" s="4" t="inlineStr">
        <is>
          <t>HINGE_TAILGATE_ASSY</t>
        </is>
      </c>
      <c r="D6" s="4" t="inlineStr">
        <is>
          <t>VF6,8,9,LH - FINISHING</t>
        </is>
      </c>
      <c r="E6" s="24">
        <f>SUM(F6:M6)</f>
        <v/>
      </c>
      <c r="F6" s="10">
        <f>INPUT_THUC_TE!E6</f>
        <v/>
      </c>
      <c r="G6" s="10">
        <f>INPUT_THUC_TE!F6</f>
        <v/>
      </c>
      <c r="H6" s="10">
        <f>INPUT_THUC_TE!G6</f>
        <v/>
      </c>
      <c r="I6" s="10">
        <f>INPUT_THUC_TE!H6</f>
        <v/>
      </c>
      <c r="J6" s="10">
        <f>INPUT_THUC_TE!I6</f>
        <v/>
      </c>
      <c r="K6" s="10">
        <f>INPUT_THUC_TE!J6</f>
        <v/>
      </c>
      <c r="L6" s="10">
        <f>INPUT_THUC_TE!K6</f>
        <v/>
      </c>
      <c r="M6" s="10">
        <f>INPUT_THUC_TE!L6</f>
        <v/>
      </c>
    </row>
    <row r="7">
      <c r="A7" s="8" t="n">
        <v>2</v>
      </c>
      <c r="B7" s="9" t="inlineStr">
        <is>
          <t>BIW30001015</t>
        </is>
      </c>
      <c r="C7" s="4" t="inlineStr">
        <is>
          <t>ASSY_FRONT_HEADER</t>
        </is>
      </c>
      <c r="D7" s="4" t="inlineStr">
        <is>
          <t>VF8 - FRAMING 1</t>
        </is>
      </c>
      <c r="E7" s="24">
        <f>SUM(F7:M7)</f>
        <v/>
      </c>
      <c r="F7" s="10">
        <f>INPUT_THUC_TE!E7</f>
        <v/>
      </c>
      <c r="G7" s="10">
        <f>INPUT_THUC_TE!F7</f>
        <v/>
      </c>
      <c r="H7" s="10">
        <f>INPUT_THUC_TE!G7</f>
        <v/>
      </c>
      <c r="I7" s="10">
        <f>INPUT_THUC_TE!H7</f>
        <v/>
      </c>
      <c r="J7" s="10">
        <f>INPUT_THUC_TE!I7</f>
        <v/>
      </c>
      <c r="K7" s="10">
        <f>INPUT_THUC_TE!J7</f>
        <v/>
      </c>
      <c r="L7" s="10">
        <f>INPUT_THUC_TE!K7</f>
        <v/>
      </c>
      <c r="M7" s="10">
        <f>INPUT_THUC_TE!L7</f>
        <v/>
      </c>
    </row>
    <row r="8">
      <c r="A8" s="8" t="n">
        <v>3</v>
      </c>
      <c r="B8" s="9" t="inlineStr">
        <is>
          <t>BIW30001038</t>
        </is>
      </c>
      <c r="C8" s="4" t="inlineStr">
        <is>
          <t>ASSY_FENDER_MTG_BRKT_FRONT_UPPER_LH</t>
        </is>
      </c>
      <c r="D8" s="4" t="inlineStr">
        <is>
          <t>VF8 - SOL</t>
        </is>
      </c>
      <c r="E8" s="24">
        <f>SUM(F8:M8)</f>
        <v/>
      </c>
      <c r="F8" s="10">
        <f>INPUT_THUC_TE!E8</f>
        <v/>
      </c>
      <c r="G8" s="10">
        <f>INPUT_THUC_TE!F8</f>
        <v/>
      </c>
      <c r="H8" s="10">
        <f>INPUT_THUC_TE!G8</f>
        <v/>
      </c>
      <c r="I8" s="10">
        <f>INPUT_THUC_TE!H8</f>
        <v/>
      </c>
      <c r="J8" s="10">
        <f>INPUT_THUC_TE!I8</f>
        <v/>
      </c>
      <c r="K8" s="10">
        <f>INPUT_THUC_TE!J8</f>
        <v/>
      </c>
      <c r="L8" s="10">
        <f>INPUT_THUC_TE!K8</f>
        <v/>
      </c>
      <c r="M8" s="10">
        <f>INPUT_THUC_TE!L8</f>
        <v/>
      </c>
    </row>
    <row r="9">
      <c r="A9" s="8" t="n">
        <v>4</v>
      </c>
      <c r="B9" s="9" t="inlineStr">
        <is>
          <t>BIW30001039</t>
        </is>
      </c>
      <c r="C9" s="4" t="inlineStr">
        <is>
          <t>ASSY_FENDER_MTG_BRKT_FRONT_UPPER_RH</t>
        </is>
      </c>
      <c r="D9" s="4" t="inlineStr">
        <is>
          <t>VF8 - SOR</t>
        </is>
      </c>
      <c r="E9" s="24">
        <f>SUM(F9:M9)</f>
        <v/>
      </c>
      <c r="F9" s="10">
        <f>INPUT_THUC_TE!E9</f>
        <v/>
      </c>
      <c r="G9" s="10">
        <f>INPUT_THUC_TE!F9</f>
        <v/>
      </c>
      <c r="H9" s="10">
        <f>INPUT_THUC_TE!G9</f>
        <v/>
      </c>
      <c r="I9" s="10">
        <f>INPUT_THUC_TE!H9</f>
        <v/>
      </c>
      <c r="J9" s="10">
        <f>INPUT_THUC_TE!I9</f>
        <v/>
      </c>
      <c r="K9" s="10">
        <f>INPUT_THUC_TE!J9</f>
        <v/>
      </c>
      <c r="L9" s="10">
        <f>INPUT_THUC_TE!K9</f>
        <v/>
      </c>
      <c r="M9" s="10">
        <f>INPUT_THUC_TE!L9</f>
        <v/>
      </c>
    </row>
    <row r="10">
      <c r="A10" s="8" t="n">
        <v>5</v>
      </c>
      <c r="B10" s="9" t="inlineStr">
        <is>
          <t>BIW30001060AA</t>
        </is>
      </c>
      <c r="C10" s="4" t="inlineStr">
        <is>
          <t>REAR_HEADER_LOWER</t>
        </is>
      </c>
      <c r="D10" s="4" t="inlineStr">
        <is>
          <t>VF8 - FRAMING 1</t>
        </is>
      </c>
      <c r="E10" s="24">
        <f>SUM(F10:M10)</f>
        <v/>
      </c>
      <c r="F10" s="10">
        <f>INPUT_THUC_TE!E10</f>
        <v/>
      </c>
      <c r="G10" s="10">
        <f>INPUT_THUC_TE!F10</f>
        <v/>
      </c>
      <c r="H10" s="10">
        <f>INPUT_THUC_TE!G10</f>
        <v/>
      </c>
      <c r="I10" s="10">
        <f>INPUT_THUC_TE!H10</f>
        <v/>
      </c>
      <c r="J10" s="10">
        <f>INPUT_THUC_TE!I10</f>
        <v/>
      </c>
      <c r="K10" s="10">
        <f>INPUT_THUC_TE!J10</f>
        <v/>
      </c>
      <c r="L10" s="10">
        <f>INPUT_THUC_TE!K10</f>
        <v/>
      </c>
      <c r="M10" s="10">
        <f>INPUT_THUC_TE!L10</f>
        <v/>
      </c>
    </row>
    <row r="11">
      <c r="A11" s="8" t="n">
        <v>6</v>
      </c>
      <c r="B11" s="9" t="inlineStr">
        <is>
          <t>BIW30001062</t>
        </is>
      </c>
      <c r="C11" s="4" t="inlineStr">
        <is>
          <t>ROOF BOW RR</t>
        </is>
      </c>
      <c r="D11" s="4" t="inlineStr">
        <is>
          <t>VF8 - FRAMING 2</t>
        </is>
      </c>
      <c r="E11" s="24">
        <f>SUM(F11:M11)</f>
        <v/>
      </c>
      <c r="F11" s="10">
        <f>INPUT_THUC_TE!E11</f>
        <v/>
      </c>
      <c r="G11" s="10">
        <f>INPUT_THUC_TE!F11</f>
        <v/>
      </c>
      <c r="H11" s="10">
        <f>INPUT_THUC_TE!G11</f>
        <v/>
      </c>
      <c r="I11" s="10">
        <f>INPUT_THUC_TE!H11</f>
        <v/>
      </c>
      <c r="J11" s="10">
        <f>INPUT_THUC_TE!I11</f>
        <v/>
      </c>
      <c r="K11" s="10">
        <f>INPUT_THUC_TE!J11</f>
        <v/>
      </c>
      <c r="L11" s="10">
        <f>INPUT_THUC_TE!K11</f>
        <v/>
      </c>
      <c r="M11" s="10">
        <f>INPUT_THUC_TE!L11</f>
        <v/>
      </c>
    </row>
    <row r="12">
      <c r="A12" s="8" t="n">
        <v>7</v>
      </c>
      <c r="B12" s="9" t="inlineStr">
        <is>
          <t>BIW30001066AA</t>
        </is>
      </c>
      <c r="C12" s="4" t="inlineStr">
        <is>
          <t>PANEL_FENDER_RH</t>
        </is>
      </c>
      <c r="D12" s="4" t="inlineStr">
        <is>
          <t>VF8 - FINISHING</t>
        </is>
      </c>
      <c r="E12" s="24">
        <f>SUM(F12:M12)</f>
        <v/>
      </c>
      <c r="F12" s="10">
        <f>INPUT_THUC_TE!E12</f>
        <v/>
      </c>
      <c r="G12" s="10">
        <f>INPUT_THUC_TE!F12</f>
        <v/>
      </c>
      <c r="H12" s="10">
        <f>INPUT_THUC_TE!G12</f>
        <v/>
      </c>
      <c r="I12" s="10">
        <f>INPUT_THUC_TE!H12</f>
        <v/>
      </c>
      <c r="J12" s="10">
        <f>INPUT_THUC_TE!I12</f>
        <v/>
      </c>
      <c r="K12" s="10">
        <f>INPUT_THUC_TE!J12</f>
        <v/>
      </c>
      <c r="L12" s="10">
        <f>INPUT_THUC_TE!K12</f>
        <v/>
      </c>
      <c r="M12" s="10">
        <f>INPUT_THUC_TE!L12</f>
        <v/>
      </c>
    </row>
    <row r="13">
      <c r="A13" s="8" t="n">
        <v>8</v>
      </c>
      <c r="B13" s="9" t="inlineStr">
        <is>
          <t>BIW30001200</t>
        </is>
      </c>
      <c r="C13" s="4" t="inlineStr">
        <is>
          <t>ASSY_PANEL_SUNROOF</t>
        </is>
      </c>
      <c r="D13" s="4" t="inlineStr">
        <is>
          <t xml:space="preserve">VF8 - FRAMING 3 </t>
        </is>
      </c>
      <c r="E13" s="24">
        <f>SUM(F13:M13)</f>
        <v/>
      </c>
      <c r="F13" s="10">
        <f>INPUT_THUC_TE!E13</f>
        <v/>
      </c>
      <c r="G13" s="10">
        <f>INPUT_THUC_TE!F13</f>
        <v/>
      </c>
      <c r="H13" s="10">
        <f>INPUT_THUC_TE!G13</f>
        <v/>
      </c>
      <c r="I13" s="10">
        <f>INPUT_THUC_TE!H13</f>
        <v/>
      </c>
      <c r="J13" s="10">
        <f>INPUT_THUC_TE!I13</f>
        <v/>
      </c>
      <c r="K13" s="10">
        <f>INPUT_THUC_TE!J13</f>
        <v/>
      </c>
      <c r="L13" s="10">
        <f>INPUT_THUC_TE!K13</f>
        <v/>
      </c>
      <c r="M13" s="10">
        <f>INPUT_THUC_TE!L13</f>
        <v/>
      </c>
    </row>
    <row r="14">
      <c r="A14" s="8" t="n">
        <v>9</v>
      </c>
      <c r="B14" s="9" t="inlineStr">
        <is>
          <t>BIW30002039</t>
        </is>
      </c>
      <c r="C14" s="4" t="inlineStr">
        <is>
          <t>ASSY_BULKHEAD_FR_PLR_UPR_LH</t>
        </is>
      </c>
      <c r="D14" s="4" t="inlineStr">
        <is>
          <t>VF8 - SOL</t>
        </is>
      </c>
      <c r="E14" s="24">
        <f>SUM(F14:M14)</f>
        <v/>
      </c>
      <c r="F14" s="10">
        <f>INPUT_THUC_TE!E14</f>
        <v/>
      </c>
      <c r="G14" s="10">
        <f>INPUT_THUC_TE!F14</f>
        <v/>
      </c>
      <c r="H14" s="10">
        <f>INPUT_THUC_TE!G14</f>
        <v/>
      </c>
      <c r="I14" s="10">
        <f>INPUT_THUC_TE!H14</f>
        <v/>
      </c>
      <c r="J14" s="10">
        <f>INPUT_THUC_TE!I14</f>
        <v/>
      </c>
      <c r="K14" s="10">
        <f>INPUT_THUC_TE!J14</f>
        <v/>
      </c>
      <c r="L14" s="10">
        <f>INPUT_THUC_TE!K14</f>
        <v/>
      </c>
      <c r="M14" s="10">
        <f>INPUT_THUC_TE!L14</f>
        <v/>
      </c>
    </row>
    <row r="15">
      <c r="A15" s="8" t="n">
        <v>10</v>
      </c>
      <c r="B15" s="9" t="inlineStr">
        <is>
          <t>BIW30002040</t>
        </is>
      </c>
      <c r="C15" s="4" t="inlineStr">
        <is>
          <t>ASSY_BULKHEAD_FR_PLR_LWR_LH</t>
        </is>
      </c>
      <c r="D15" s="4" t="inlineStr">
        <is>
          <t>VF8 - SOL</t>
        </is>
      </c>
      <c r="E15" s="24">
        <f>SUM(F15:M15)</f>
        <v/>
      </c>
      <c r="F15" s="10">
        <f>INPUT_THUC_TE!E15</f>
        <v/>
      </c>
      <c r="G15" s="10">
        <f>INPUT_THUC_TE!F15</f>
        <v/>
      </c>
      <c r="H15" s="10">
        <f>INPUT_THUC_TE!G15</f>
        <v/>
      </c>
      <c r="I15" s="10">
        <f>INPUT_THUC_TE!H15</f>
        <v/>
      </c>
      <c r="J15" s="10">
        <f>INPUT_THUC_TE!I15</f>
        <v/>
      </c>
      <c r="K15" s="10">
        <f>INPUT_THUC_TE!J15</f>
        <v/>
      </c>
      <c r="L15" s="10">
        <f>INPUT_THUC_TE!K15</f>
        <v/>
      </c>
      <c r="M15" s="10">
        <f>INPUT_THUC_TE!L15</f>
        <v/>
      </c>
    </row>
    <row r="16">
      <c r="A16" s="8" t="n">
        <v>11</v>
      </c>
      <c r="B16" s="9" t="inlineStr">
        <is>
          <t>BIW30002044</t>
        </is>
      </c>
      <c r="C16" s="4" t="inlineStr">
        <is>
          <t>ASSY_RENIF_CTR_PLR_LH</t>
        </is>
      </c>
      <c r="D16" s="4" t="inlineStr">
        <is>
          <t>VF8 - SOL</t>
        </is>
      </c>
      <c r="E16" s="24">
        <f>SUM(F16:M16)</f>
        <v/>
      </c>
      <c r="F16" s="10">
        <f>INPUT_THUC_TE!E16</f>
        <v/>
      </c>
      <c r="G16" s="10">
        <f>INPUT_THUC_TE!F16</f>
        <v/>
      </c>
      <c r="H16" s="10">
        <f>INPUT_THUC_TE!G16</f>
        <v/>
      </c>
      <c r="I16" s="10">
        <f>INPUT_THUC_TE!H16</f>
        <v/>
      </c>
      <c r="J16" s="10">
        <f>INPUT_THUC_TE!I16</f>
        <v/>
      </c>
      <c r="K16" s="10">
        <f>INPUT_THUC_TE!J16</f>
        <v/>
      </c>
      <c r="L16" s="10">
        <f>INPUT_THUC_TE!K16</f>
        <v/>
      </c>
      <c r="M16" s="10">
        <f>INPUT_THUC_TE!L16</f>
        <v/>
      </c>
    </row>
    <row r="17">
      <c r="A17" s="8" t="n">
        <v>12</v>
      </c>
      <c r="B17" s="9" t="inlineStr">
        <is>
          <t>BIW30002048</t>
        </is>
      </c>
      <c r="C17" s="4" t="inlineStr">
        <is>
          <t>ASSY_REINF_FR_PLR_UPR_LH</t>
        </is>
      </c>
      <c r="D17" s="4" t="inlineStr">
        <is>
          <t>VF8 - SIL</t>
        </is>
      </c>
      <c r="E17" s="24">
        <f>SUM(F17:M17)</f>
        <v/>
      </c>
      <c r="F17" s="10">
        <f>INPUT_THUC_TE!E17</f>
        <v/>
      </c>
      <c r="G17" s="10">
        <f>INPUT_THUC_TE!F17</f>
        <v/>
      </c>
      <c r="H17" s="10">
        <f>INPUT_THUC_TE!G17</f>
        <v/>
      </c>
      <c r="I17" s="10">
        <f>INPUT_THUC_TE!H17</f>
        <v/>
      </c>
      <c r="J17" s="10">
        <f>INPUT_THUC_TE!I17</f>
        <v/>
      </c>
      <c r="K17" s="10">
        <f>INPUT_THUC_TE!J17</f>
        <v/>
      </c>
      <c r="L17" s="10">
        <f>INPUT_THUC_TE!K17</f>
        <v/>
      </c>
      <c r="M17" s="10">
        <f>INPUT_THUC_TE!L17</f>
        <v/>
      </c>
    </row>
    <row r="18">
      <c r="A18" s="8" t="n">
        <v>13</v>
      </c>
      <c r="B18" s="9" t="inlineStr">
        <is>
          <t>BIW30002049</t>
        </is>
      </c>
      <c r="C18" s="4" t="inlineStr">
        <is>
          <t>ASSY_REINF_FR_PLR_UPR_LH</t>
        </is>
      </c>
      <c r="D18" s="4" t="inlineStr">
        <is>
          <t>VF8 - SIL</t>
        </is>
      </c>
      <c r="E18" s="24">
        <f>SUM(F18:M18)</f>
        <v/>
      </c>
      <c r="F18" s="10">
        <f>INPUT_THUC_TE!E18</f>
        <v/>
      </c>
      <c r="G18" s="10">
        <f>INPUT_THUC_TE!F18</f>
        <v/>
      </c>
      <c r="H18" s="10">
        <f>INPUT_THUC_TE!G18</f>
        <v/>
      </c>
      <c r="I18" s="10">
        <f>INPUT_THUC_TE!H18</f>
        <v/>
      </c>
      <c r="J18" s="10">
        <f>INPUT_THUC_TE!I18</f>
        <v/>
      </c>
      <c r="K18" s="10">
        <f>INPUT_THUC_TE!J18</f>
        <v/>
      </c>
      <c r="L18" s="10">
        <f>INPUT_THUC_TE!K18</f>
        <v/>
      </c>
      <c r="M18" s="10">
        <f>INPUT_THUC_TE!L18</f>
        <v/>
      </c>
    </row>
    <row r="19">
      <c r="A19" s="8" t="n">
        <v>14</v>
      </c>
      <c r="B19" s="9" t="inlineStr">
        <is>
          <t>BIW30002057</t>
        </is>
      </c>
      <c r="C19" s="4" t="inlineStr">
        <is>
          <t>ASSY_PNL_CTR_PLR_INR_LH</t>
        </is>
      </c>
      <c r="D19" s="4" t="inlineStr">
        <is>
          <t>VF8 - SIL</t>
        </is>
      </c>
      <c r="E19" s="24">
        <f>SUM(F19:M19)</f>
        <v/>
      </c>
      <c r="F19" s="10">
        <f>INPUT_THUC_TE!E19</f>
        <v/>
      </c>
      <c r="G19" s="10">
        <f>INPUT_THUC_TE!F19</f>
        <v/>
      </c>
      <c r="H19" s="10">
        <f>INPUT_THUC_TE!G19</f>
        <v/>
      </c>
      <c r="I19" s="10">
        <f>INPUT_THUC_TE!H19</f>
        <v/>
      </c>
      <c r="J19" s="10">
        <f>INPUT_THUC_TE!I19</f>
        <v/>
      </c>
      <c r="K19" s="10">
        <f>INPUT_THUC_TE!J19</f>
        <v/>
      </c>
      <c r="L19" s="10">
        <f>INPUT_THUC_TE!K19</f>
        <v/>
      </c>
      <c r="M19" s="10">
        <f>INPUT_THUC_TE!L19</f>
        <v/>
      </c>
    </row>
    <row r="20">
      <c r="A20" s="8" t="n">
        <v>15</v>
      </c>
      <c r="B20" s="9" t="inlineStr">
        <is>
          <t>BIW30002062</t>
        </is>
      </c>
      <c r="C20" s="4" t="inlineStr">
        <is>
          <t>ASSY_PNL_QTR_INR_LH</t>
        </is>
      </c>
      <c r="D20" s="4" t="inlineStr">
        <is>
          <t>VF8 - SIL</t>
        </is>
      </c>
      <c r="E20" s="24">
        <f>SUM(F20:M20)</f>
        <v/>
      </c>
      <c r="F20" s="10">
        <f>INPUT_THUC_TE!E20</f>
        <v/>
      </c>
      <c r="G20" s="10">
        <f>INPUT_THUC_TE!F20</f>
        <v/>
      </c>
      <c r="H20" s="10">
        <f>INPUT_THUC_TE!G20</f>
        <v/>
      </c>
      <c r="I20" s="10">
        <f>INPUT_THUC_TE!H20</f>
        <v/>
      </c>
      <c r="J20" s="10">
        <f>INPUT_THUC_TE!I20</f>
        <v/>
      </c>
      <c r="K20" s="10">
        <f>INPUT_THUC_TE!J20</f>
        <v/>
      </c>
      <c r="L20" s="10">
        <f>INPUT_THUC_TE!K20</f>
        <v/>
      </c>
      <c r="M20" s="10">
        <f>INPUT_THUC_TE!L20</f>
        <v/>
      </c>
    </row>
    <row r="21">
      <c r="A21" s="8" t="n">
        <v>16</v>
      </c>
      <c r="B21" s="9" t="inlineStr">
        <is>
          <t>BIW30002064</t>
        </is>
      </c>
      <c r="C21" s="4" t="inlineStr">
        <is>
          <t>ASSY_EXT_QTR_INR_UPR_LH</t>
        </is>
      </c>
      <c r="D21" s="4" t="inlineStr">
        <is>
          <t>VF8 - SIL</t>
        </is>
      </c>
      <c r="E21" s="24">
        <f>SUM(F21:M21)</f>
        <v/>
      </c>
      <c r="F21" s="10">
        <f>INPUT_THUC_TE!E21</f>
        <v/>
      </c>
      <c r="G21" s="10">
        <f>INPUT_THUC_TE!F21</f>
        <v/>
      </c>
      <c r="H21" s="10">
        <f>INPUT_THUC_TE!G21</f>
        <v/>
      </c>
      <c r="I21" s="10">
        <f>INPUT_THUC_TE!H21</f>
        <v/>
      </c>
      <c r="J21" s="10">
        <f>INPUT_THUC_TE!I21</f>
        <v/>
      </c>
      <c r="K21" s="10">
        <f>INPUT_THUC_TE!J21</f>
        <v/>
      </c>
      <c r="L21" s="10">
        <f>INPUT_THUC_TE!K21</f>
        <v/>
      </c>
      <c r="M21" s="10">
        <f>INPUT_THUC_TE!L21</f>
        <v/>
      </c>
    </row>
    <row r="22">
      <c r="A22" s="8" t="n">
        <v>17</v>
      </c>
      <c r="B22" s="9" t="inlineStr">
        <is>
          <t>BIW30002111</t>
        </is>
      </c>
      <c r="C22" s="4" t="inlineStr">
        <is>
          <t>ASSY_PNL_FR_PLR_INR_UPR_LH</t>
        </is>
      </c>
      <c r="D22" s="4" t="inlineStr">
        <is>
          <t>VF8 - SIL</t>
        </is>
      </c>
      <c r="E22" s="24">
        <f>SUM(F22:M22)</f>
        <v/>
      </c>
      <c r="F22" s="10">
        <f>INPUT_THUC_TE!E22</f>
        <v/>
      </c>
      <c r="G22" s="10">
        <f>INPUT_THUC_TE!F22</f>
        <v/>
      </c>
      <c r="H22" s="10">
        <f>INPUT_THUC_TE!G22</f>
        <v/>
      </c>
      <c r="I22" s="10">
        <f>INPUT_THUC_TE!H22</f>
        <v/>
      </c>
      <c r="J22" s="10">
        <f>INPUT_THUC_TE!I22</f>
        <v/>
      </c>
      <c r="K22" s="10">
        <f>INPUT_THUC_TE!J22</f>
        <v/>
      </c>
      <c r="L22" s="10">
        <f>INPUT_THUC_TE!K22</f>
        <v/>
      </c>
      <c r="M22" s="10">
        <f>INPUT_THUC_TE!L22</f>
        <v/>
      </c>
    </row>
    <row r="23">
      <c r="A23" s="8" t="n">
        <v>18</v>
      </c>
      <c r="B23" s="9" t="inlineStr">
        <is>
          <t>BIW30002112</t>
        </is>
      </c>
      <c r="C23" s="4" t="inlineStr">
        <is>
          <t>ASSY_PANEL_SIDE_BODY_UP_INNER_LH</t>
        </is>
      </c>
      <c r="D23" s="4" t="inlineStr">
        <is>
          <t>VF8 - SIL</t>
        </is>
      </c>
      <c r="E23" s="24">
        <f>SUM(F23:M23)</f>
        <v/>
      </c>
      <c r="F23" s="10">
        <f>INPUT_THUC_TE!E23</f>
        <v/>
      </c>
      <c r="G23" s="10">
        <f>INPUT_THUC_TE!F23</f>
        <v/>
      </c>
      <c r="H23" s="10">
        <f>INPUT_THUC_TE!G23</f>
        <v/>
      </c>
      <c r="I23" s="10">
        <f>INPUT_THUC_TE!H23</f>
        <v/>
      </c>
      <c r="J23" s="10">
        <f>INPUT_THUC_TE!I23</f>
        <v/>
      </c>
      <c r="K23" s="10">
        <f>INPUT_THUC_TE!J23</f>
        <v/>
      </c>
      <c r="L23" s="10">
        <f>INPUT_THUC_TE!K23</f>
        <v/>
      </c>
      <c r="M23" s="10">
        <f>INPUT_THUC_TE!L23</f>
        <v/>
      </c>
    </row>
    <row r="24">
      <c r="A24" s="8" t="n">
        <v>19</v>
      </c>
      <c r="B24" s="9" t="inlineStr">
        <is>
          <t>BIW30002158</t>
        </is>
      </c>
      <c r="C24" s="4" t="inlineStr">
        <is>
          <t>ASSY_REINF_FR_PLR_LWR_LH</t>
        </is>
      </c>
      <c r="D24" s="4" t="inlineStr">
        <is>
          <t>VF8 - SIL</t>
        </is>
      </c>
      <c r="E24" s="24">
        <f>SUM(F24:M24)</f>
        <v/>
      </c>
      <c r="F24" s="10">
        <f>INPUT_THUC_TE!E24</f>
        <v/>
      </c>
      <c r="G24" s="10">
        <f>INPUT_THUC_TE!F24</f>
        <v/>
      </c>
      <c r="H24" s="10">
        <f>INPUT_THUC_TE!G24</f>
        <v/>
      </c>
      <c r="I24" s="10">
        <f>INPUT_THUC_TE!H24</f>
        <v/>
      </c>
      <c r="J24" s="10">
        <f>INPUT_THUC_TE!I24</f>
        <v/>
      </c>
      <c r="K24" s="10">
        <f>INPUT_THUC_TE!J24</f>
        <v/>
      </c>
      <c r="L24" s="10">
        <f>INPUT_THUC_TE!K24</f>
        <v/>
      </c>
      <c r="M24" s="10">
        <f>INPUT_THUC_TE!L24</f>
        <v/>
      </c>
    </row>
    <row r="25">
      <c r="A25" s="8" t="n">
        <v>20</v>
      </c>
      <c r="B25" s="9" t="inlineStr">
        <is>
          <t>BIW30003071</t>
        </is>
      </c>
      <c r="C25" s="4" t="inlineStr">
        <is>
          <t>ASSY_PNL_FR_PLR_INR_UPR_RH</t>
        </is>
      </c>
      <c r="D25" s="4" t="inlineStr">
        <is>
          <t>VF8 - SIR</t>
        </is>
      </c>
      <c r="E25" s="24">
        <f>SUM(F25:M25)</f>
        <v/>
      </c>
      <c r="F25" s="10">
        <f>INPUT_THUC_TE!E25</f>
        <v/>
      </c>
      <c r="G25" s="10">
        <f>INPUT_THUC_TE!F25</f>
        <v/>
      </c>
      <c r="H25" s="10">
        <f>INPUT_THUC_TE!G25</f>
        <v/>
      </c>
      <c r="I25" s="10">
        <f>INPUT_THUC_TE!H25</f>
        <v/>
      </c>
      <c r="J25" s="10">
        <f>INPUT_THUC_TE!I25</f>
        <v/>
      </c>
      <c r="K25" s="10">
        <f>INPUT_THUC_TE!J25</f>
        <v/>
      </c>
      <c r="L25" s="10">
        <f>INPUT_THUC_TE!K25</f>
        <v/>
      </c>
      <c r="M25" s="10">
        <f>INPUT_THUC_TE!L25</f>
        <v/>
      </c>
    </row>
    <row r="26">
      <c r="A26" s="8" t="n">
        <v>21</v>
      </c>
      <c r="B26" s="9" t="inlineStr">
        <is>
          <t>BIW30003072</t>
        </is>
      </c>
      <c r="C26" s="4" t="inlineStr">
        <is>
          <t>ASSY_PANEL_SIDE_BODY_UP_INNER_RH</t>
        </is>
      </c>
      <c r="D26" s="4" t="inlineStr">
        <is>
          <t>VF8 - SIR</t>
        </is>
      </c>
      <c r="E26" s="24">
        <f>SUM(F26:M26)</f>
        <v/>
      </c>
      <c r="F26" s="10">
        <f>INPUT_THUC_TE!E26</f>
        <v/>
      </c>
      <c r="G26" s="10">
        <f>INPUT_THUC_TE!F26</f>
        <v/>
      </c>
      <c r="H26" s="10">
        <f>INPUT_THUC_TE!G26</f>
        <v/>
      </c>
      <c r="I26" s="10">
        <f>INPUT_THUC_TE!H26</f>
        <v/>
      </c>
      <c r="J26" s="10">
        <f>INPUT_THUC_TE!I26</f>
        <v/>
      </c>
      <c r="K26" s="10">
        <f>INPUT_THUC_TE!J26</f>
        <v/>
      </c>
      <c r="L26" s="10">
        <f>INPUT_THUC_TE!K26</f>
        <v/>
      </c>
      <c r="M26" s="10">
        <f>INPUT_THUC_TE!L26</f>
        <v/>
      </c>
    </row>
    <row r="27">
      <c r="A27" s="8" t="n">
        <v>22</v>
      </c>
      <c r="B27" s="9" t="inlineStr">
        <is>
          <t>BIW30003120</t>
        </is>
      </c>
      <c r="C27" s="4" t="inlineStr">
        <is>
          <t>ASSY_BULKHEAD_FR_PLR_UPR_RH</t>
        </is>
      </c>
      <c r="D27" s="4" t="inlineStr">
        <is>
          <t>VF8 - SOR</t>
        </is>
      </c>
      <c r="E27" s="24">
        <f>SUM(F27:M27)</f>
        <v/>
      </c>
      <c r="F27" s="10">
        <f>INPUT_THUC_TE!E27</f>
        <v/>
      </c>
      <c r="G27" s="10">
        <f>INPUT_THUC_TE!F27</f>
        <v/>
      </c>
      <c r="H27" s="10">
        <f>INPUT_THUC_TE!G27</f>
        <v/>
      </c>
      <c r="I27" s="10">
        <f>INPUT_THUC_TE!H27</f>
        <v/>
      </c>
      <c r="J27" s="10">
        <f>INPUT_THUC_TE!I27</f>
        <v/>
      </c>
      <c r="K27" s="10">
        <f>INPUT_THUC_TE!J27</f>
        <v/>
      </c>
      <c r="L27" s="10">
        <f>INPUT_THUC_TE!K27</f>
        <v/>
      </c>
      <c r="M27" s="10">
        <f>INPUT_THUC_TE!L27</f>
        <v/>
      </c>
    </row>
    <row r="28">
      <c r="A28" s="8" t="n">
        <v>23</v>
      </c>
      <c r="B28" s="9" t="inlineStr">
        <is>
          <t>BIW30003121</t>
        </is>
      </c>
      <c r="C28" s="4" t="inlineStr">
        <is>
          <t>ASSY_REINF_FR_PLR_LWR_RH</t>
        </is>
      </c>
      <c r="D28" s="4" t="inlineStr">
        <is>
          <t>VF8 - SIR</t>
        </is>
      </c>
      <c r="E28" s="24">
        <f>SUM(F28:M28)</f>
        <v/>
      </c>
      <c r="F28" s="10">
        <f>INPUT_THUC_TE!E28</f>
        <v/>
      </c>
      <c r="G28" s="10">
        <f>INPUT_THUC_TE!F28</f>
        <v/>
      </c>
      <c r="H28" s="10">
        <f>INPUT_THUC_TE!G28</f>
        <v/>
      </c>
      <c r="I28" s="10">
        <f>INPUT_THUC_TE!H28</f>
        <v/>
      </c>
      <c r="J28" s="10">
        <f>INPUT_THUC_TE!I28</f>
        <v/>
      </c>
      <c r="K28" s="10">
        <f>INPUT_THUC_TE!J28</f>
        <v/>
      </c>
      <c r="L28" s="10">
        <f>INPUT_THUC_TE!K28</f>
        <v/>
      </c>
      <c r="M28" s="10">
        <f>INPUT_THUC_TE!L28</f>
        <v/>
      </c>
    </row>
    <row r="29">
      <c r="A29" s="8" t="n">
        <v>24</v>
      </c>
      <c r="B29" s="9" t="inlineStr">
        <is>
          <t>BIW30003130</t>
        </is>
      </c>
      <c r="C29" s="4" t="inlineStr">
        <is>
          <t>ASSY_BULKHEAD_FR_PLR_LWR_RH</t>
        </is>
      </c>
      <c r="D29" s="4" t="inlineStr">
        <is>
          <t>VF8 - SOR</t>
        </is>
      </c>
      <c r="E29" s="24">
        <f>SUM(F29:M29)</f>
        <v/>
      </c>
      <c r="F29" s="10">
        <f>INPUT_THUC_TE!E29</f>
        <v/>
      </c>
      <c r="G29" s="10">
        <f>INPUT_THUC_TE!F29</f>
        <v/>
      </c>
      <c r="H29" s="10">
        <f>INPUT_THUC_TE!G29</f>
        <v/>
      </c>
      <c r="I29" s="10">
        <f>INPUT_THUC_TE!H29</f>
        <v/>
      </c>
      <c r="J29" s="10">
        <f>INPUT_THUC_TE!I29</f>
        <v/>
      </c>
      <c r="K29" s="10">
        <f>INPUT_THUC_TE!J29</f>
        <v/>
      </c>
      <c r="L29" s="10">
        <f>INPUT_THUC_TE!K29</f>
        <v/>
      </c>
      <c r="M29" s="10">
        <f>INPUT_THUC_TE!L29</f>
        <v/>
      </c>
    </row>
    <row r="30">
      <c r="A30" s="8" t="n">
        <v>25</v>
      </c>
      <c r="B30" s="9" t="inlineStr">
        <is>
          <t>BIW30003250</t>
        </is>
      </c>
      <c r="C30" s="4" t="inlineStr">
        <is>
          <t>ASSY_PNL_CTR_PLR_INR_RH</t>
        </is>
      </c>
      <c r="D30" s="4" t="inlineStr">
        <is>
          <t>VF8 - SIR</t>
        </is>
      </c>
      <c r="E30" s="24">
        <f>SUM(F30:M30)</f>
        <v/>
      </c>
      <c r="F30" s="10">
        <f>INPUT_THUC_TE!E30</f>
        <v/>
      </c>
      <c r="G30" s="10">
        <f>INPUT_THUC_TE!F30</f>
        <v/>
      </c>
      <c r="H30" s="10">
        <f>INPUT_THUC_TE!G30</f>
        <v/>
      </c>
      <c r="I30" s="10">
        <f>INPUT_THUC_TE!H30</f>
        <v/>
      </c>
      <c r="J30" s="10">
        <f>INPUT_THUC_TE!I30</f>
        <v/>
      </c>
      <c r="K30" s="10">
        <f>INPUT_THUC_TE!J30</f>
        <v/>
      </c>
      <c r="L30" s="10">
        <f>INPUT_THUC_TE!K30</f>
        <v/>
      </c>
      <c r="M30" s="10">
        <f>INPUT_THUC_TE!L30</f>
        <v/>
      </c>
    </row>
    <row r="31">
      <c r="A31" s="13" t="inlineStr"/>
      <c r="B31" s="14" t="inlineStr">
        <is>
          <t>TỔNG CỘNG</t>
        </is>
      </c>
      <c r="C31" s="13" t="n"/>
      <c r="D31" s="13" t="n"/>
      <c r="E31" s="15">
        <f>SUM(E6:E30)</f>
        <v/>
      </c>
      <c r="F31" s="15">
        <f>SUM(F6:F30)</f>
        <v/>
      </c>
      <c r="G31" s="15">
        <f>SUM(G6:G30)</f>
        <v/>
      </c>
      <c r="H31" s="15">
        <f>SUM(H6:H30)</f>
        <v/>
      </c>
      <c r="I31" s="15">
        <f>SUM(I6:I30)</f>
        <v/>
      </c>
      <c r="J31" s="15">
        <f>SUM(J6:J30)</f>
        <v/>
      </c>
      <c r="K31" s="15">
        <f>SUM(K6:K30)</f>
        <v/>
      </c>
      <c r="L31" s="15">
        <f>SUM(L6:L30)</f>
        <v/>
      </c>
      <c r="M31" s="15">
        <f>SUM(M6:M30)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7E22"/>
    <outlinePr summaryBelow="1" summaryRight="1"/>
    <pageSetUpPr/>
  </sheetPr>
  <dimension ref="A2:N3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7" customWidth="1" min="13" max="13"/>
    <col width="11" customWidth="1" min="14" max="14"/>
  </cols>
  <sheetData>
    <row r="2">
      <c r="B2" s="1" t="inlineStr">
        <is>
          <t>NHẬP LIỆU THỰC TẾ PACKING / LINE NHẬN HÀNG (THEO KHUNG GIỜ)</t>
        </is>
      </c>
    </row>
    <row r="3">
      <c r="B3" s="2" t="inlineStr">
        <is>
          <t>Ngày: 23/10/2026 | Ca: Ca 1 (06:00 - 14:00) | Line: MA Shop 3003</t>
        </is>
      </c>
    </row>
    <row r="5">
      <c r="A5" s="20" t="inlineStr">
        <is>
          <t>STT</t>
        </is>
      </c>
      <c r="B5" s="20" t="inlineStr">
        <is>
          <t>Mã vật tư (Material)</t>
        </is>
      </c>
      <c r="C5" s="20" t="inlineStr">
        <is>
          <t>Tên vật tư (Description)</t>
        </is>
      </c>
      <c r="D5" s="20" t="inlineStr">
        <is>
          <t>Model / Line</t>
        </is>
      </c>
      <c r="E5" s="20" t="inlineStr">
        <is>
          <t>06:00-07:00</t>
        </is>
      </c>
      <c r="F5" s="20" t="inlineStr">
        <is>
          <t>07:00-08:00</t>
        </is>
      </c>
      <c r="G5" s="20" t="inlineStr">
        <is>
          <t>08:00-09:00</t>
        </is>
      </c>
      <c r="H5" s="20" t="inlineStr">
        <is>
          <t>09:00-10:00</t>
        </is>
      </c>
      <c r="I5" s="20" t="inlineStr">
        <is>
          <t>10:00-11:00</t>
        </is>
      </c>
      <c r="J5" s="20" t="inlineStr">
        <is>
          <t>11:00-12:00</t>
        </is>
      </c>
      <c r="K5" s="20" t="inlineStr">
        <is>
          <t>12:00-13:00</t>
        </is>
      </c>
      <c r="L5" s="20" t="inlineStr">
        <is>
          <t>13:00-14:00</t>
        </is>
      </c>
      <c r="M5" s="20" t="inlineStr">
        <is>
          <t>TỔNG THỰC NHẬN</t>
        </is>
      </c>
      <c r="N5" s="20" t="inlineStr">
        <is>
          <t>Ghi chú</t>
        </is>
      </c>
    </row>
    <row r="6">
      <c r="A6" s="8" t="n">
        <v>1</v>
      </c>
      <c r="B6" s="9" t="inlineStr">
        <is>
          <t>BIW20005484</t>
        </is>
      </c>
      <c r="C6" s="4" t="inlineStr">
        <is>
          <t>HINGE_TAILGATE_ASSY</t>
        </is>
      </c>
      <c r="D6" s="4" t="inlineStr">
        <is>
          <t>VF6,8,9,LH - FINISHING</t>
        </is>
      </c>
      <c r="E6" s="10" t="n">
        <v>30</v>
      </c>
      <c r="F6" s="10" t="n">
        <v>30</v>
      </c>
      <c r="G6" s="10" t="n">
        <v>60</v>
      </c>
      <c r="H6" s="10" t="n">
        <v>0</v>
      </c>
      <c r="I6" s="10" t="n">
        <v>45</v>
      </c>
      <c r="J6" s="10" t="n">
        <v>45</v>
      </c>
      <c r="K6" s="10" t="n">
        <v>0</v>
      </c>
      <c r="L6" s="10" t="n">
        <v>0</v>
      </c>
      <c r="M6" s="21">
        <f>SUM(E6:L6)</f>
        <v/>
      </c>
      <c r="N6" s="4" t="n"/>
    </row>
    <row r="7">
      <c r="A7" s="8" t="n">
        <v>2</v>
      </c>
      <c r="B7" s="9" t="inlineStr">
        <is>
          <t>BIW30001015</t>
        </is>
      </c>
      <c r="C7" s="4" t="inlineStr">
        <is>
          <t>ASSY_FRONT_HEADER</t>
        </is>
      </c>
      <c r="D7" s="4" t="inlineStr">
        <is>
          <t>VF8 - FRAMING 1</t>
        </is>
      </c>
      <c r="E7" s="10" t="n">
        <v>45</v>
      </c>
      <c r="F7" s="10" t="n">
        <v>30</v>
      </c>
      <c r="G7" s="10" t="n">
        <v>100</v>
      </c>
      <c r="H7" s="10" t="n">
        <v>0</v>
      </c>
      <c r="I7" s="10" t="n">
        <v>30</v>
      </c>
      <c r="J7" s="10" t="n">
        <v>100</v>
      </c>
      <c r="K7" s="10" t="n">
        <v>0</v>
      </c>
      <c r="L7" s="10" t="n">
        <v>0</v>
      </c>
      <c r="M7" s="21">
        <f>SUM(E7:L7)</f>
        <v/>
      </c>
      <c r="N7" s="4" t="n"/>
    </row>
    <row r="8">
      <c r="A8" s="8" t="n">
        <v>3</v>
      </c>
      <c r="B8" s="9" t="inlineStr">
        <is>
          <t>BIW30001038</t>
        </is>
      </c>
      <c r="C8" s="4" t="inlineStr">
        <is>
          <t>ASSY_FENDER_MTG_BRKT_FRONT_UPPER_LH</t>
        </is>
      </c>
      <c r="D8" s="4" t="inlineStr">
        <is>
          <t>VF8 - SOL</t>
        </is>
      </c>
      <c r="E8" s="10" t="n">
        <v>80</v>
      </c>
      <c r="F8" s="10" t="n">
        <v>30</v>
      </c>
      <c r="G8" s="10" t="n">
        <v>30</v>
      </c>
      <c r="H8" s="10" t="n">
        <v>0</v>
      </c>
      <c r="I8" s="10" t="n">
        <v>30</v>
      </c>
      <c r="J8" s="10" t="n">
        <v>45</v>
      </c>
      <c r="K8" s="10" t="n">
        <v>0</v>
      </c>
      <c r="L8" s="10" t="n">
        <v>0</v>
      </c>
      <c r="M8" s="21">
        <f>SUM(E8:L8)</f>
        <v/>
      </c>
      <c r="N8" s="4" t="n"/>
    </row>
    <row r="9">
      <c r="A9" s="8" t="n">
        <v>4</v>
      </c>
      <c r="B9" s="9" t="inlineStr">
        <is>
          <t>BIW30001039</t>
        </is>
      </c>
      <c r="C9" s="4" t="inlineStr">
        <is>
          <t>ASSY_FENDER_MTG_BRKT_FRONT_UPPER_RH</t>
        </is>
      </c>
      <c r="D9" s="4" t="inlineStr">
        <is>
          <t>VF8 - SOR</t>
        </is>
      </c>
      <c r="E9" s="10" t="n">
        <v>45</v>
      </c>
      <c r="F9" s="10" t="n">
        <v>100</v>
      </c>
      <c r="G9" s="10" t="n">
        <v>100</v>
      </c>
      <c r="H9" s="10" t="n">
        <v>0</v>
      </c>
      <c r="I9" s="10" t="n">
        <v>30</v>
      </c>
      <c r="J9" s="10" t="n">
        <v>100</v>
      </c>
      <c r="K9" s="10" t="n">
        <v>0</v>
      </c>
      <c r="L9" s="10" t="n">
        <v>0</v>
      </c>
      <c r="M9" s="21">
        <f>SUM(E9:L9)</f>
        <v/>
      </c>
      <c r="N9" s="4" t="n"/>
    </row>
    <row r="10">
      <c r="A10" s="8" t="n">
        <v>5</v>
      </c>
      <c r="B10" s="9" t="inlineStr">
        <is>
          <t>BIW30001060AA</t>
        </is>
      </c>
      <c r="C10" s="4" t="inlineStr">
        <is>
          <t>REAR_HEADER_LOWER</t>
        </is>
      </c>
      <c r="D10" s="4" t="inlineStr">
        <is>
          <t>VF8 - FRAMING 1</t>
        </is>
      </c>
      <c r="E10" s="10" t="n">
        <v>45</v>
      </c>
      <c r="F10" s="10" t="n">
        <v>100</v>
      </c>
      <c r="G10" s="10" t="n">
        <v>80</v>
      </c>
      <c r="H10" s="10" t="n">
        <v>0</v>
      </c>
      <c r="I10" s="10" t="n">
        <v>45</v>
      </c>
      <c r="J10" s="10" t="n">
        <v>80</v>
      </c>
      <c r="K10" s="10" t="n">
        <v>0</v>
      </c>
      <c r="L10" s="10" t="n">
        <v>0</v>
      </c>
      <c r="M10" s="21">
        <f>SUM(E10:L10)</f>
        <v/>
      </c>
      <c r="N10" s="4" t="n"/>
    </row>
    <row r="11">
      <c r="A11" s="8" t="n">
        <v>6</v>
      </c>
      <c r="B11" s="9" t="inlineStr">
        <is>
          <t>BIW30001062</t>
        </is>
      </c>
      <c r="C11" s="4" t="inlineStr">
        <is>
          <t>ROOF BOW RR</t>
        </is>
      </c>
      <c r="D11" s="4" t="inlineStr">
        <is>
          <t>VF8 - FRAMING 2</t>
        </is>
      </c>
      <c r="E11" s="10" t="n">
        <v>100</v>
      </c>
      <c r="F11" s="10" t="n">
        <v>60</v>
      </c>
      <c r="G11" s="10" t="n">
        <v>30</v>
      </c>
      <c r="H11" s="10" t="n">
        <v>0</v>
      </c>
      <c r="I11" s="10" t="n">
        <v>45</v>
      </c>
      <c r="J11" s="10" t="n">
        <v>80</v>
      </c>
      <c r="K11" s="10" t="n">
        <v>0</v>
      </c>
      <c r="L11" s="10" t="n">
        <v>0</v>
      </c>
      <c r="M11" s="21">
        <f>SUM(E11:L11)</f>
        <v/>
      </c>
      <c r="N11" s="4" t="n"/>
    </row>
    <row r="12">
      <c r="A12" s="8" t="n">
        <v>7</v>
      </c>
      <c r="B12" s="9" t="inlineStr">
        <is>
          <t>BIW30001066AA</t>
        </is>
      </c>
      <c r="C12" s="4" t="inlineStr">
        <is>
          <t>PANEL_FENDER_RH</t>
        </is>
      </c>
      <c r="D12" s="4" t="inlineStr">
        <is>
          <t>VF8 - FINISHING</t>
        </is>
      </c>
      <c r="E12" s="10" t="n">
        <v>60</v>
      </c>
      <c r="F12" s="10" t="n">
        <v>60</v>
      </c>
      <c r="G12" s="10" t="n">
        <v>45</v>
      </c>
      <c r="H12" s="10" t="n">
        <v>0</v>
      </c>
      <c r="I12" s="10" t="n">
        <v>45</v>
      </c>
      <c r="J12" s="10" t="n">
        <v>60</v>
      </c>
      <c r="K12" s="10" t="n">
        <v>0</v>
      </c>
      <c r="L12" s="10" t="n">
        <v>0</v>
      </c>
      <c r="M12" s="21">
        <f>SUM(E12:L12)</f>
        <v/>
      </c>
      <c r="N12" s="4" t="n"/>
    </row>
    <row r="13">
      <c r="A13" s="8" t="n">
        <v>8</v>
      </c>
      <c r="B13" s="9" t="inlineStr">
        <is>
          <t>BIW30001200</t>
        </is>
      </c>
      <c r="C13" s="4" t="inlineStr">
        <is>
          <t>ASSY_PANEL_SUNROOF</t>
        </is>
      </c>
      <c r="D13" s="4" t="inlineStr">
        <is>
          <t xml:space="preserve">VF8 - FRAMING 3 </t>
        </is>
      </c>
      <c r="E13" s="10" t="n">
        <v>30</v>
      </c>
      <c r="F13" s="10" t="n">
        <v>30</v>
      </c>
      <c r="G13" s="10" t="n">
        <v>80</v>
      </c>
      <c r="H13" s="10" t="n">
        <v>0</v>
      </c>
      <c r="I13" s="10" t="n">
        <v>30</v>
      </c>
      <c r="J13" s="10" t="n">
        <v>60</v>
      </c>
      <c r="K13" s="10" t="n">
        <v>0</v>
      </c>
      <c r="L13" s="10" t="n">
        <v>0</v>
      </c>
      <c r="M13" s="21">
        <f>SUM(E13:L13)</f>
        <v/>
      </c>
      <c r="N13" s="4" t="n"/>
    </row>
    <row r="14">
      <c r="A14" s="8" t="n">
        <v>9</v>
      </c>
      <c r="B14" s="9" t="inlineStr">
        <is>
          <t>BIW30002039</t>
        </is>
      </c>
      <c r="C14" s="4" t="inlineStr">
        <is>
          <t>ASSY_BULKHEAD_FR_PLR_UPR_LH</t>
        </is>
      </c>
      <c r="D14" s="4" t="inlineStr">
        <is>
          <t>VF8 - SOL</t>
        </is>
      </c>
      <c r="E14" s="10" t="n">
        <v>60</v>
      </c>
      <c r="F14" s="10" t="n">
        <v>100</v>
      </c>
      <c r="G14" s="10" t="n">
        <v>60</v>
      </c>
      <c r="H14" s="10" t="n">
        <v>0</v>
      </c>
      <c r="I14" s="10" t="n">
        <v>30</v>
      </c>
      <c r="J14" s="10" t="n">
        <v>80</v>
      </c>
      <c r="K14" s="10" t="n">
        <v>0</v>
      </c>
      <c r="L14" s="10" t="n">
        <v>0</v>
      </c>
      <c r="M14" s="21">
        <f>SUM(E14:L14)</f>
        <v/>
      </c>
      <c r="N14" s="4" t="n"/>
    </row>
    <row r="15">
      <c r="A15" s="8" t="n">
        <v>10</v>
      </c>
      <c r="B15" s="9" t="inlineStr">
        <is>
          <t>BIW30002040</t>
        </is>
      </c>
      <c r="C15" s="4" t="inlineStr">
        <is>
          <t>ASSY_BULKHEAD_FR_PLR_LWR_LH</t>
        </is>
      </c>
      <c r="D15" s="4" t="inlineStr">
        <is>
          <t>VF8 - SOL</t>
        </is>
      </c>
      <c r="E15" s="10" t="n">
        <v>100</v>
      </c>
      <c r="F15" s="10" t="n">
        <v>30</v>
      </c>
      <c r="G15" s="10" t="n">
        <v>80</v>
      </c>
      <c r="H15" s="10" t="n">
        <v>0</v>
      </c>
      <c r="I15" s="10" t="n">
        <v>30</v>
      </c>
      <c r="J15" s="10" t="n">
        <v>100</v>
      </c>
      <c r="K15" s="10" t="n">
        <v>0</v>
      </c>
      <c r="L15" s="10" t="n">
        <v>0</v>
      </c>
      <c r="M15" s="21">
        <f>SUM(E15:L15)</f>
        <v/>
      </c>
      <c r="N15" s="4" t="n"/>
    </row>
    <row r="16">
      <c r="A16" s="8" t="n">
        <v>11</v>
      </c>
      <c r="B16" s="9" t="inlineStr">
        <is>
          <t>BIW30002044</t>
        </is>
      </c>
      <c r="C16" s="4" t="inlineStr">
        <is>
          <t>ASSY_RENIF_CTR_PLR_LH</t>
        </is>
      </c>
      <c r="D16" s="4" t="inlineStr">
        <is>
          <t>VF8 - SOL</t>
        </is>
      </c>
      <c r="E16" s="10" t="n">
        <v>60</v>
      </c>
      <c r="F16" s="10" t="n">
        <v>100</v>
      </c>
      <c r="G16" s="10" t="n">
        <v>60</v>
      </c>
      <c r="H16" s="10" t="n">
        <v>0</v>
      </c>
      <c r="I16" s="10" t="n">
        <v>100</v>
      </c>
      <c r="J16" s="10" t="n">
        <v>45</v>
      </c>
      <c r="K16" s="10" t="n">
        <v>0</v>
      </c>
      <c r="L16" s="10" t="n">
        <v>0</v>
      </c>
      <c r="M16" s="21">
        <f>SUM(E16:L16)</f>
        <v/>
      </c>
      <c r="N16" s="4" t="n"/>
    </row>
    <row r="17">
      <c r="A17" s="8" t="n">
        <v>12</v>
      </c>
      <c r="B17" s="9" t="inlineStr">
        <is>
          <t>BIW30002048</t>
        </is>
      </c>
      <c r="C17" s="4" t="inlineStr">
        <is>
          <t>ASSY_REINF_FR_PLR_UPR_LH</t>
        </is>
      </c>
      <c r="D17" s="4" t="inlineStr">
        <is>
          <t>VF8 - SIL</t>
        </is>
      </c>
      <c r="E17" s="10" t="n">
        <v>30</v>
      </c>
      <c r="F17" s="10" t="n">
        <v>30</v>
      </c>
      <c r="G17" s="10" t="n">
        <v>45</v>
      </c>
      <c r="H17" s="10" t="n">
        <v>0</v>
      </c>
      <c r="I17" s="10" t="n">
        <v>60</v>
      </c>
      <c r="J17" s="10" t="n">
        <v>30</v>
      </c>
      <c r="K17" s="10" t="n">
        <v>0</v>
      </c>
      <c r="L17" s="10" t="n">
        <v>0</v>
      </c>
      <c r="M17" s="21">
        <f>SUM(E17:L17)</f>
        <v/>
      </c>
      <c r="N17" s="4" t="n"/>
    </row>
    <row r="18">
      <c r="A18" s="8" t="n">
        <v>13</v>
      </c>
      <c r="B18" s="9" t="inlineStr">
        <is>
          <t>BIW30002049</t>
        </is>
      </c>
      <c r="C18" s="4" t="inlineStr">
        <is>
          <t>ASSY_REINF_FR_PLR_UPR_LH</t>
        </is>
      </c>
      <c r="D18" s="4" t="inlineStr">
        <is>
          <t>VF8 - SIL</t>
        </is>
      </c>
      <c r="E18" s="10" t="n">
        <v>45</v>
      </c>
      <c r="F18" s="10" t="n">
        <v>30</v>
      </c>
      <c r="G18" s="10" t="n">
        <v>80</v>
      </c>
      <c r="H18" s="10" t="n">
        <v>0</v>
      </c>
      <c r="I18" s="10" t="n">
        <v>60</v>
      </c>
      <c r="J18" s="10" t="n">
        <v>80</v>
      </c>
      <c r="K18" s="10" t="n">
        <v>0</v>
      </c>
      <c r="L18" s="10" t="n">
        <v>0</v>
      </c>
      <c r="M18" s="21">
        <f>SUM(E18:L18)</f>
        <v/>
      </c>
      <c r="N18" s="4" t="n"/>
    </row>
    <row r="19">
      <c r="A19" s="8" t="n">
        <v>14</v>
      </c>
      <c r="B19" s="9" t="inlineStr">
        <is>
          <t>BIW30002057</t>
        </is>
      </c>
      <c r="C19" s="4" t="inlineStr">
        <is>
          <t>ASSY_PNL_CTR_PLR_INR_LH</t>
        </is>
      </c>
      <c r="D19" s="4" t="inlineStr">
        <is>
          <t>VF8 - SIL</t>
        </is>
      </c>
      <c r="E19" s="10" t="n">
        <v>60</v>
      </c>
      <c r="F19" s="10" t="n">
        <v>45</v>
      </c>
      <c r="G19" s="10" t="n">
        <v>60</v>
      </c>
      <c r="H19" s="10" t="n">
        <v>0</v>
      </c>
      <c r="I19" s="10" t="n">
        <v>60</v>
      </c>
      <c r="J19" s="10" t="n">
        <v>45</v>
      </c>
      <c r="K19" s="10" t="n">
        <v>0</v>
      </c>
      <c r="L19" s="10" t="n">
        <v>0</v>
      </c>
      <c r="M19" s="21">
        <f>SUM(E19:L19)</f>
        <v/>
      </c>
      <c r="N19" s="4" t="n"/>
    </row>
    <row r="20">
      <c r="A20" s="8" t="n">
        <v>15</v>
      </c>
      <c r="B20" s="9" t="inlineStr">
        <is>
          <t>BIW30002062</t>
        </is>
      </c>
      <c r="C20" s="4" t="inlineStr">
        <is>
          <t>ASSY_PNL_QTR_INR_LH</t>
        </is>
      </c>
      <c r="D20" s="4" t="inlineStr">
        <is>
          <t>VF8 - SIL</t>
        </is>
      </c>
      <c r="E20" s="10" t="n">
        <v>60</v>
      </c>
      <c r="F20" s="10" t="n">
        <v>30</v>
      </c>
      <c r="G20" s="10" t="n">
        <v>100</v>
      </c>
      <c r="H20" s="10" t="n">
        <v>0</v>
      </c>
      <c r="I20" s="10" t="n">
        <v>45</v>
      </c>
      <c r="J20" s="10" t="n">
        <v>100</v>
      </c>
      <c r="K20" s="10" t="n">
        <v>0</v>
      </c>
      <c r="L20" s="10" t="n">
        <v>0</v>
      </c>
      <c r="M20" s="21">
        <f>SUM(E20:L20)</f>
        <v/>
      </c>
      <c r="N20" s="4" t="n"/>
    </row>
    <row r="21">
      <c r="A21" s="8" t="n">
        <v>16</v>
      </c>
      <c r="B21" s="9" t="inlineStr">
        <is>
          <t>BIW30002064</t>
        </is>
      </c>
      <c r="C21" s="4" t="inlineStr">
        <is>
          <t>ASSY_EXT_QTR_INR_UPR_LH</t>
        </is>
      </c>
      <c r="D21" s="4" t="inlineStr">
        <is>
          <t>VF8 - SIL</t>
        </is>
      </c>
      <c r="E21" s="10" t="n">
        <v>45</v>
      </c>
      <c r="F21" s="10" t="n">
        <v>45</v>
      </c>
      <c r="G21" s="10" t="n">
        <v>80</v>
      </c>
      <c r="H21" s="10" t="n">
        <v>0</v>
      </c>
      <c r="I21" s="10" t="n">
        <v>80</v>
      </c>
      <c r="J21" s="10" t="n">
        <v>60</v>
      </c>
      <c r="K21" s="10" t="n">
        <v>0</v>
      </c>
      <c r="L21" s="10" t="n">
        <v>0</v>
      </c>
      <c r="M21" s="21">
        <f>SUM(E21:L21)</f>
        <v/>
      </c>
      <c r="N21" s="4" t="n"/>
    </row>
    <row r="22">
      <c r="A22" s="8" t="n">
        <v>17</v>
      </c>
      <c r="B22" s="9" t="inlineStr">
        <is>
          <t>BIW30002111</t>
        </is>
      </c>
      <c r="C22" s="4" t="inlineStr">
        <is>
          <t>ASSY_PNL_FR_PLR_INR_UPR_LH</t>
        </is>
      </c>
      <c r="D22" s="4" t="inlineStr">
        <is>
          <t>VF8 - SIL</t>
        </is>
      </c>
      <c r="E22" s="10" t="n">
        <v>100</v>
      </c>
      <c r="F22" s="10" t="n">
        <v>45</v>
      </c>
      <c r="G22" s="10" t="n">
        <v>60</v>
      </c>
      <c r="H22" s="10" t="n">
        <v>0</v>
      </c>
      <c r="I22" s="10" t="n">
        <v>30</v>
      </c>
      <c r="J22" s="10" t="n">
        <v>45</v>
      </c>
      <c r="K22" s="10" t="n">
        <v>0</v>
      </c>
      <c r="L22" s="10" t="n">
        <v>0</v>
      </c>
      <c r="M22" s="21">
        <f>SUM(E22:L22)</f>
        <v/>
      </c>
      <c r="N22" s="4" t="n"/>
    </row>
    <row r="23">
      <c r="A23" s="8" t="n">
        <v>18</v>
      </c>
      <c r="B23" s="9" t="inlineStr">
        <is>
          <t>BIW30002112</t>
        </is>
      </c>
      <c r="C23" s="4" t="inlineStr">
        <is>
          <t>ASSY_PANEL_SIDE_BODY_UP_INNER_LH</t>
        </is>
      </c>
      <c r="D23" s="4" t="inlineStr">
        <is>
          <t>VF8 - SIL</t>
        </is>
      </c>
      <c r="E23" s="10" t="n">
        <v>30</v>
      </c>
      <c r="F23" s="10" t="n">
        <v>60</v>
      </c>
      <c r="G23" s="10" t="n">
        <v>80</v>
      </c>
      <c r="H23" s="10" t="n">
        <v>0</v>
      </c>
      <c r="I23" s="10" t="n">
        <v>60</v>
      </c>
      <c r="J23" s="10" t="n">
        <v>30</v>
      </c>
      <c r="K23" s="10" t="n">
        <v>0</v>
      </c>
      <c r="L23" s="10" t="n">
        <v>0</v>
      </c>
      <c r="M23" s="21">
        <f>SUM(E23:L23)</f>
        <v/>
      </c>
      <c r="N23" s="4" t="n"/>
    </row>
    <row r="24">
      <c r="A24" s="8" t="n">
        <v>19</v>
      </c>
      <c r="B24" s="9" t="inlineStr">
        <is>
          <t>BIW30002158</t>
        </is>
      </c>
      <c r="C24" s="4" t="inlineStr">
        <is>
          <t>ASSY_REINF_FR_PLR_LWR_LH</t>
        </is>
      </c>
      <c r="D24" s="4" t="inlineStr">
        <is>
          <t>VF8 - SIL</t>
        </is>
      </c>
      <c r="E24" s="10" t="n">
        <v>45</v>
      </c>
      <c r="F24" s="10" t="n">
        <v>100</v>
      </c>
      <c r="G24" s="10" t="n">
        <v>60</v>
      </c>
      <c r="H24" s="10" t="n">
        <v>0</v>
      </c>
      <c r="I24" s="10" t="n">
        <v>45</v>
      </c>
      <c r="J24" s="10" t="n">
        <v>80</v>
      </c>
      <c r="K24" s="10" t="n">
        <v>0</v>
      </c>
      <c r="L24" s="10" t="n">
        <v>0</v>
      </c>
      <c r="M24" s="21">
        <f>SUM(E24:L24)</f>
        <v/>
      </c>
      <c r="N24" s="4" t="n"/>
    </row>
    <row r="25">
      <c r="A25" s="8" t="n">
        <v>20</v>
      </c>
      <c r="B25" s="9" t="inlineStr">
        <is>
          <t>BIW30003071</t>
        </is>
      </c>
      <c r="C25" s="4" t="inlineStr">
        <is>
          <t>ASSY_PNL_FR_PLR_INR_UPR_RH</t>
        </is>
      </c>
      <c r="D25" s="4" t="inlineStr">
        <is>
          <t>VF8 - SIR</t>
        </is>
      </c>
      <c r="E25" s="10" t="n">
        <v>80</v>
      </c>
      <c r="F25" s="10" t="n">
        <v>80</v>
      </c>
      <c r="G25" s="10" t="n">
        <v>45</v>
      </c>
      <c r="H25" s="10" t="n">
        <v>0</v>
      </c>
      <c r="I25" s="10" t="n">
        <v>60</v>
      </c>
      <c r="J25" s="10" t="n">
        <v>45</v>
      </c>
      <c r="K25" s="10" t="n">
        <v>0</v>
      </c>
      <c r="L25" s="10" t="n">
        <v>0</v>
      </c>
      <c r="M25" s="21">
        <f>SUM(E25:L25)</f>
        <v/>
      </c>
      <c r="N25" s="4" t="n"/>
    </row>
    <row r="26">
      <c r="A26" s="8" t="n">
        <v>21</v>
      </c>
      <c r="B26" s="9" t="inlineStr">
        <is>
          <t>BIW30003072</t>
        </is>
      </c>
      <c r="C26" s="4" t="inlineStr">
        <is>
          <t>ASSY_PANEL_SIDE_BODY_UP_INNER_RH</t>
        </is>
      </c>
      <c r="D26" s="4" t="inlineStr">
        <is>
          <t>VF8 - SIR</t>
        </is>
      </c>
      <c r="E26" s="10" t="n">
        <v>45</v>
      </c>
      <c r="F26" s="10" t="n">
        <v>100</v>
      </c>
      <c r="G26" s="10" t="n">
        <v>100</v>
      </c>
      <c r="H26" s="10" t="n">
        <v>0</v>
      </c>
      <c r="I26" s="10" t="n">
        <v>60</v>
      </c>
      <c r="J26" s="10" t="n">
        <v>100</v>
      </c>
      <c r="K26" s="10" t="n">
        <v>0</v>
      </c>
      <c r="L26" s="10" t="n">
        <v>0</v>
      </c>
      <c r="M26" s="21">
        <f>SUM(E26:L26)</f>
        <v/>
      </c>
      <c r="N26" s="4" t="n"/>
    </row>
    <row r="27">
      <c r="A27" s="8" t="n">
        <v>22</v>
      </c>
      <c r="B27" s="9" t="inlineStr">
        <is>
          <t>BIW30003120</t>
        </is>
      </c>
      <c r="C27" s="4" t="inlineStr">
        <is>
          <t>ASSY_BULKHEAD_FR_PLR_UPR_RH</t>
        </is>
      </c>
      <c r="D27" s="4" t="inlineStr">
        <is>
          <t>VF8 - SOR</t>
        </is>
      </c>
      <c r="E27" s="10" t="n">
        <v>80</v>
      </c>
      <c r="F27" s="10" t="n">
        <v>100</v>
      </c>
      <c r="G27" s="10" t="n">
        <v>80</v>
      </c>
      <c r="H27" s="10" t="n">
        <v>0</v>
      </c>
      <c r="I27" s="10" t="n">
        <v>60</v>
      </c>
      <c r="J27" s="10" t="n">
        <v>45</v>
      </c>
      <c r="K27" s="10" t="n">
        <v>0</v>
      </c>
      <c r="L27" s="10" t="n">
        <v>0</v>
      </c>
      <c r="M27" s="21">
        <f>SUM(E27:L27)</f>
        <v/>
      </c>
      <c r="N27" s="4" t="n"/>
    </row>
    <row r="28">
      <c r="A28" s="8" t="n">
        <v>23</v>
      </c>
      <c r="B28" s="9" t="inlineStr">
        <is>
          <t>BIW30003121</t>
        </is>
      </c>
      <c r="C28" s="4" t="inlineStr">
        <is>
          <t>ASSY_REINF_FR_PLR_LWR_RH</t>
        </is>
      </c>
      <c r="D28" s="4" t="inlineStr">
        <is>
          <t>VF8 - SIR</t>
        </is>
      </c>
      <c r="E28" s="10" t="n">
        <v>45</v>
      </c>
      <c r="F28" s="10" t="n">
        <v>100</v>
      </c>
      <c r="G28" s="10" t="n">
        <v>80</v>
      </c>
      <c r="H28" s="10" t="n">
        <v>0</v>
      </c>
      <c r="I28" s="10" t="n">
        <v>30</v>
      </c>
      <c r="J28" s="10" t="n">
        <v>30</v>
      </c>
      <c r="K28" s="10" t="n">
        <v>0</v>
      </c>
      <c r="L28" s="10" t="n">
        <v>0</v>
      </c>
      <c r="M28" s="21">
        <f>SUM(E28:L28)</f>
        <v/>
      </c>
      <c r="N28" s="4" t="n"/>
    </row>
    <row r="29">
      <c r="A29" s="8" t="n">
        <v>24</v>
      </c>
      <c r="B29" s="9" t="inlineStr">
        <is>
          <t>BIW30003130</t>
        </is>
      </c>
      <c r="C29" s="4" t="inlineStr">
        <is>
          <t>ASSY_BULKHEAD_FR_PLR_LWR_RH</t>
        </is>
      </c>
      <c r="D29" s="4" t="inlineStr">
        <is>
          <t>VF8 - SOR</t>
        </is>
      </c>
      <c r="E29" s="10" t="n">
        <v>30</v>
      </c>
      <c r="F29" s="10" t="n">
        <v>45</v>
      </c>
      <c r="G29" s="10" t="n">
        <v>45</v>
      </c>
      <c r="H29" s="10" t="n">
        <v>0</v>
      </c>
      <c r="I29" s="10" t="n">
        <v>80</v>
      </c>
      <c r="J29" s="10" t="n">
        <v>100</v>
      </c>
      <c r="K29" s="10" t="n">
        <v>0</v>
      </c>
      <c r="L29" s="10" t="n">
        <v>0</v>
      </c>
      <c r="M29" s="21">
        <f>SUM(E29:L29)</f>
        <v/>
      </c>
      <c r="N29" s="4" t="n"/>
    </row>
    <row r="30">
      <c r="A30" s="8" t="n">
        <v>25</v>
      </c>
      <c r="B30" s="9" t="inlineStr">
        <is>
          <t>BIW30003250</t>
        </is>
      </c>
      <c r="C30" s="4" t="inlineStr">
        <is>
          <t>ASSY_PNL_CTR_PLR_INR_RH</t>
        </is>
      </c>
      <c r="D30" s="4" t="inlineStr">
        <is>
          <t>VF8 - SIR</t>
        </is>
      </c>
      <c r="E30" s="10" t="n">
        <v>30</v>
      </c>
      <c r="F30" s="10" t="n">
        <v>80</v>
      </c>
      <c r="G30" s="10" t="n">
        <v>80</v>
      </c>
      <c r="H30" s="10" t="n">
        <v>0</v>
      </c>
      <c r="I30" s="10" t="n">
        <v>100</v>
      </c>
      <c r="J30" s="10" t="n">
        <v>80</v>
      </c>
      <c r="K30" s="10" t="n">
        <v>0</v>
      </c>
      <c r="L30" s="10" t="n">
        <v>0</v>
      </c>
      <c r="M30" s="21">
        <f>SUM(E30:L30)</f>
        <v/>
      </c>
      <c r="N30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J1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6" customWidth="1" min="4" max="4"/>
    <col width="11" customWidth="1" min="5" max="5"/>
    <col width="15" customWidth="1" min="6" max="6"/>
    <col width="17" customWidth="1" min="7" max="7"/>
    <col width="11" customWidth="1" min="8" max="8"/>
    <col width="29" customWidth="1" min="9" max="9"/>
    <col width="14" customWidth="1" min="10" max="10"/>
  </cols>
  <sheetData>
    <row r="1">
      <c r="A1" s="22" t="inlineStr">
        <is>
          <t>Material</t>
        </is>
      </c>
      <c r="B1" s="22" t="inlineStr">
        <is>
          <t>Posting Date</t>
        </is>
      </c>
      <c r="C1" s="22" t="inlineStr">
        <is>
          <t>Entry Time</t>
        </is>
      </c>
      <c r="D1" s="22" t="inlineStr">
        <is>
          <t>Movement Type</t>
        </is>
      </c>
      <c r="E1" s="22" t="inlineStr">
        <is>
          <t>Plant</t>
        </is>
      </c>
      <c r="F1" s="22" t="inlineStr">
        <is>
          <t>Issuing SLoc</t>
        </is>
      </c>
      <c r="G1" s="22" t="inlineStr">
        <is>
          <t>Receiving SLoc</t>
        </is>
      </c>
      <c r="H1" s="22" t="inlineStr">
        <is>
          <t>Quantity</t>
        </is>
      </c>
      <c r="I1" s="22" t="inlineStr">
        <is>
          <t>Net Qty</t>
        </is>
      </c>
      <c r="J1" s="22" t="inlineStr">
        <is>
          <t>Time Slot</t>
        </is>
      </c>
    </row>
    <row r="2">
      <c r="A2" s="4" t="inlineStr">
        <is>
          <t>BIW20005484</t>
        </is>
      </c>
      <c r="B2" s="4" t="inlineStr">
        <is>
          <t>23.10.2026</t>
        </is>
      </c>
      <c r="C2" s="4" t="inlineStr">
        <is>
          <t>06:38:26</t>
        </is>
      </c>
      <c r="D2" s="4" t="n">
        <v>311</v>
      </c>
      <c r="E2" s="4" t="inlineStr">
        <is>
          <t>3001</t>
        </is>
      </c>
      <c r="F2" s="4" t="inlineStr">
        <is>
          <t>1003</t>
        </is>
      </c>
      <c r="G2" s="4" t="inlineStr">
        <is>
          <t>3003</t>
        </is>
      </c>
      <c r="H2" s="23" t="n">
        <v>30</v>
      </c>
      <c r="I2" s="23">
        <f>IF(D2=312, -H2, H2)</f>
        <v/>
      </c>
      <c r="J2" s="4" t="inlineStr">
        <is>
          <t>06:00-07:00</t>
        </is>
      </c>
    </row>
    <row r="3">
      <c r="A3" s="4" t="inlineStr">
        <is>
          <t>BIW20005484</t>
        </is>
      </c>
      <c r="B3" s="4" t="inlineStr">
        <is>
          <t>23.10.2026</t>
        </is>
      </c>
      <c r="C3" s="4" t="inlineStr">
        <is>
          <t>07:40:10</t>
        </is>
      </c>
      <c r="D3" s="4" t="n">
        <v>311</v>
      </c>
      <c r="E3" s="4" t="inlineStr">
        <is>
          <t>3001</t>
        </is>
      </c>
      <c r="F3" s="4" t="inlineStr">
        <is>
          <t>1003</t>
        </is>
      </c>
      <c r="G3" s="4" t="inlineStr">
        <is>
          <t>3003</t>
        </is>
      </c>
      <c r="H3" s="23" t="n">
        <v>30</v>
      </c>
      <c r="I3" s="23">
        <f>IF(D3=312, -H3, H3)</f>
        <v/>
      </c>
      <c r="J3" s="4" t="inlineStr">
        <is>
          <t>07:00-08:00</t>
        </is>
      </c>
    </row>
    <row r="4">
      <c r="A4" s="4" t="inlineStr">
        <is>
          <t>BIW20005484</t>
        </is>
      </c>
      <c r="B4" s="4" t="inlineStr">
        <is>
          <t>23.10.2026</t>
        </is>
      </c>
      <c r="C4" s="4" t="inlineStr">
        <is>
          <t>08:48:56</t>
        </is>
      </c>
      <c r="D4" s="4" t="n">
        <v>311</v>
      </c>
      <c r="E4" s="4" t="inlineStr">
        <is>
          <t>3001</t>
        </is>
      </c>
      <c r="F4" s="4" t="inlineStr">
        <is>
          <t>1003</t>
        </is>
      </c>
      <c r="G4" s="4" t="inlineStr">
        <is>
          <t>3003</t>
        </is>
      </c>
      <c r="H4" s="23" t="n">
        <v>60</v>
      </c>
      <c r="I4" s="23">
        <f>IF(D4=312, -H4, H4)</f>
        <v/>
      </c>
      <c r="J4" s="4" t="inlineStr">
        <is>
          <t>08:00-09:00</t>
        </is>
      </c>
    </row>
    <row r="5">
      <c r="A5" s="4" t="inlineStr">
        <is>
          <t>BIW20005484</t>
        </is>
      </c>
      <c r="B5" s="4" t="inlineStr">
        <is>
          <t>23.10.2026</t>
        </is>
      </c>
      <c r="C5" s="4" t="inlineStr">
        <is>
          <t>10:12:53</t>
        </is>
      </c>
      <c r="D5" s="4" t="n">
        <v>311</v>
      </c>
      <c r="E5" s="4" t="inlineStr">
        <is>
          <t>3001</t>
        </is>
      </c>
      <c r="F5" s="4" t="inlineStr">
        <is>
          <t>1003</t>
        </is>
      </c>
      <c r="G5" s="4" t="inlineStr">
        <is>
          <t>3003</t>
        </is>
      </c>
      <c r="H5" s="23" t="n">
        <v>45</v>
      </c>
      <c r="I5" s="23">
        <f>IF(D5=312, -H5, H5)</f>
        <v/>
      </c>
      <c r="J5" s="4" t="inlineStr">
        <is>
          <t>10:00-11:00</t>
        </is>
      </c>
    </row>
    <row r="6">
      <c r="A6" s="4" t="inlineStr">
        <is>
          <t>BIW20005484</t>
        </is>
      </c>
      <c r="B6" s="4" t="inlineStr">
        <is>
          <t>23.10.2026</t>
        </is>
      </c>
      <c r="C6" s="4" t="inlineStr">
        <is>
          <t>11:39:58</t>
        </is>
      </c>
      <c r="D6" s="4" t="n">
        <v>311</v>
      </c>
      <c r="E6" s="4" t="inlineStr">
        <is>
          <t>3001</t>
        </is>
      </c>
      <c r="F6" s="4" t="inlineStr">
        <is>
          <t>1003</t>
        </is>
      </c>
      <c r="G6" s="4" t="inlineStr">
        <is>
          <t>3003</t>
        </is>
      </c>
      <c r="H6" s="23" t="n">
        <v>45</v>
      </c>
      <c r="I6" s="23">
        <f>IF(D6=312, -H6, H6)</f>
        <v/>
      </c>
      <c r="J6" s="4" t="inlineStr">
        <is>
          <t>11:00-12:00</t>
        </is>
      </c>
    </row>
    <row r="7">
      <c r="A7" s="4" t="inlineStr">
        <is>
          <t>BIW30001015</t>
        </is>
      </c>
      <c r="B7" s="4" t="inlineStr">
        <is>
          <t>23.10.2026</t>
        </is>
      </c>
      <c r="C7" s="4" t="inlineStr">
        <is>
          <t>06:22:59</t>
        </is>
      </c>
      <c r="D7" s="4" t="n">
        <v>311</v>
      </c>
      <c r="E7" s="4" t="inlineStr">
        <is>
          <t>3001</t>
        </is>
      </c>
      <c r="F7" s="4" t="inlineStr">
        <is>
          <t>1003</t>
        </is>
      </c>
      <c r="G7" s="4" t="inlineStr">
        <is>
          <t>3003</t>
        </is>
      </c>
      <c r="H7" s="23" t="n">
        <v>45</v>
      </c>
      <c r="I7" s="23">
        <f>IF(D7=312, -H7, H7)</f>
        <v/>
      </c>
      <c r="J7" s="4" t="inlineStr">
        <is>
          <t>06:00-07:00</t>
        </is>
      </c>
    </row>
    <row r="8">
      <c r="A8" s="4" t="inlineStr">
        <is>
          <t>BIW30001015</t>
        </is>
      </c>
      <c r="B8" s="4" t="inlineStr">
        <is>
          <t>23.10.2026</t>
        </is>
      </c>
      <c r="C8" s="4" t="inlineStr">
        <is>
          <t>07:46:31</t>
        </is>
      </c>
      <c r="D8" s="4" t="n">
        <v>311</v>
      </c>
      <c r="E8" s="4" t="inlineStr">
        <is>
          <t>3001</t>
        </is>
      </c>
      <c r="F8" s="4" t="inlineStr">
        <is>
          <t>1003</t>
        </is>
      </c>
      <c r="G8" s="4" t="inlineStr">
        <is>
          <t>3003</t>
        </is>
      </c>
      <c r="H8" s="23" t="n">
        <v>50</v>
      </c>
      <c r="I8" s="23">
        <f>IF(D8=312, -H8, H8)</f>
        <v/>
      </c>
      <c r="J8" s="4" t="inlineStr">
        <is>
          <t>07:00-08:00</t>
        </is>
      </c>
    </row>
    <row r="9">
      <c r="A9" s="4" t="inlineStr">
        <is>
          <t>BIW30001015</t>
        </is>
      </c>
      <c r="B9" s="4" t="inlineStr">
        <is>
          <t>23.10.2026</t>
        </is>
      </c>
      <c r="C9" s="4" t="inlineStr">
        <is>
          <t>08:12:28</t>
        </is>
      </c>
      <c r="D9" s="4" t="n">
        <v>311</v>
      </c>
      <c r="E9" s="4" t="inlineStr">
        <is>
          <t>3001</t>
        </is>
      </c>
      <c r="F9" s="4" t="inlineStr">
        <is>
          <t>1003</t>
        </is>
      </c>
      <c r="G9" s="4" t="inlineStr">
        <is>
          <t>3003</t>
        </is>
      </c>
      <c r="H9" s="23" t="n">
        <v>100</v>
      </c>
      <c r="I9" s="23">
        <f>IF(D9=312, -H9, H9)</f>
        <v/>
      </c>
      <c r="J9" s="4" t="inlineStr">
        <is>
          <t>08:00-09:00</t>
        </is>
      </c>
    </row>
    <row r="10">
      <c r="A10" s="4" t="inlineStr">
        <is>
          <t>BIW30001015</t>
        </is>
      </c>
      <c r="B10" s="4" t="inlineStr">
        <is>
          <t>23.10.2026</t>
        </is>
      </c>
      <c r="C10" s="4" t="inlineStr">
        <is>
          <t>10:32:20</t>
        </is>
      </c>
      <c r="D10" s="4" t="n">
        <v>311</v>
      </c>
      <c r="E10" s="4" t="inlineStr">
        <is>
          <t>3001</t>
        </is>
      </c>
      <c r="F10" s="4" t="inlineStr">
        <is>
          <t>1003</t>
        </is>
      </c>
      <c r="G10" s="4" t="inlineStr">
        <is>
          <t>3003</t>
        </is>
      </c>
      <c r="H10" s="23" t="n">
        <v>30</v>
      </c>
      <c r="I10" s="23">
        <f>IF(D10=312, -H10, H10)</f>
        <v/>
      </c>
      <c r="J10" s="4" t="inlineStr">
        <is>
          <t>10:00-11:00</t>
        </is>
      </c>
    </row>
    <row r="11">
      <c r="A11" s="4" t="inlineStr">
        <is>
          <t>BIW30001015</t>
        </is>
      </c>
      <c r="B11" s="4" t="inlineStr">
        <is>
          <t>23.10.2026</t>
        </is>
      </c>
      <c r="C11" s="4" t="inlineStr">
        <is>
          <t>11:34:10</t>
        </is>
      </c>
      <c r="D11" s="4" t="n">
        <v>311</v>
      </c>
      <c r="E11" s="4" t="inlineStr">
        <is>
          <t>3001</t>
        </is>
      </c>
      <c r="F11" s="4" t="inlineStr">
        <is>
          <t>1003</t>
        </is>
      </c>
      <c r="G11" s="4" t="inlineStr">
        <is>
          <t>3003</t>
        </is>
      </c>
      <c r="H11" s="23" t="n">
        <v>100</v>
      </c>
      <c r="I11" s="23">
        <f>IF(D11=312, -H11, H11)</f>
        <v/>
      </c>
      <c r="J11" s="4" t="inlineStr">
        <is>
          <t>11:00-12:00</t>
        </is>
      </c>
    </row>
    <row r="12">
      <c r="A12" s="4" t="inlineStr">
        <is>
          <t>BIW30001038</t>
        </is>
      </c>
      <c r="B12" s="4" t="inlineStr">
        <is>
          <t>23.10.2026</t>
        </is>
      </c>
      <c r="C12" s="4" t="inlineStr">
        <is>
          <t>06:21:42</t>
        </is>
      </c>
      <c r="D12" s="4" t="n">
        <v>311</v>
      </c>
      <c r="E12" s="4" t="inlineStr">
        <is>
          <t>3001</t>
        </is>
      </c>
      <c r="F12" s="4" t="inlineStr">
        <is>
          <t>1003</t>
        </is>
      </c>
      <c r="G12" s="4" t="inlineStr">
        <is>
          <t>3003</t>
        </is>
      </c>
      <c r="H12" s="23" t="n">
        <v>80</v>
      </c>
      <c r="I12" s="23">
        <f>IF(D12=312, -H12, H12)</f>
        <v/>
      </c>
      <c r="J12" s="4" t="inlineStr">
        <is>
          <t>06:00-07:00</t>
        </is>
      </c>
    </row>
    <row r="13">
      <c r="A13" s="4" t="inlineStr">
        <is>
          <t>BIW30001038</t>
        </is>
      </c>
      <c r="B13" s="4" t="inlineStr">
        <is>
          <t>23.10.2026</t>
        </is>
      </c>
      <c r="C13" s="4" t="inlineStr">
        <is>
          <t>07:16:42</t>
        </is>
      </c>
      <c r="D13" s="4" t="n">
        <v>311</v>
      </c>
      <c r="E13" s="4" t="inlineStr">
        <is>
          <t>3001</t>
        </is>
      </c>
      <c r="F13" s="4" t="inlineStr">
        <is>
          <t>1003</t>
        </is>
      </c>
      <c r="G13" s="4" t="inlineStr">
        <is>
          <t>3003</t>
        </is>
      </c>
      <c r="H13" s="23" t="n">
        <v>30</v>
      </c>
      <c r="I13" s="23">
        <f>IF(D13=312, -H13, H13)</f>
        <v/>
      </c>
      <c r="J13" s="4" t="inlineStr">
        <is>
          <t>07:00-08:00</t>
        </is>
      </c>
    </row>
    <row r="14">
      <c r="A14" s="4" t="inlineStr">
        <is>
          <t>BIW30001038</t>
        </is>
      </c>
      <c r="B14" s="4" t="inlineStr">
        <is>
          <t>23.10.2026</t>
        </is>
      </c>
      <c r="C14" s="4" t="inlineStr">
        <is>
          <t>08:11:50</t>
        </is>
      </c>
      <c r="D14" s="4" t="n">
        <v>311</v>
      </c>
      <c r="E14" s="4" t="inlineStr">
        <is>
          <t>3001</t>
        </is>
      </c>
      <c r="F14" s="4" t="inlineStr">
        <is>
          <t>1003</t>
        </is>
      </c>
      <c r="G14" s="4" t="inlineStr">
        <is>
          <t>3003</t>
        </is>
      </c>
      <c r="H14" s="23" t="n">
        <v>30</v>
      </c>
      <c r="I14" s="23">
        <f>IF(D14=312, -H14, H14)</f>
        <v/>
      </c>
      <c r="J14" s="4" t="inlineStr">
        <is>
          <t>08:00-09:00</t>
        </is>
      </c>
    </row>
    <row r="15">
      <c r="A15" s="4" t="inlineStr">
        <is>
          <t>BIW30001038</t>
        </is>
      </c>
      <c r="B15" s="4" t="inlineStr">
        <is>
          <t>23.10.2026</t>
        </is>
      </c>
      <c r="C15" s="4" t="inlineStr">
        <is>
          <t>10:24:50</t>
        </is>
      </c>
      <c r="D15" s="4" t="n">
        <v>311</v>
      </c>
      <c r="E15" s="4" t="inlineStr">
        <is>
          <t>3001</t>
        </is>
      </c>
      <c r="F15" s="4" t="inlineStr">
        <is>
          <t>1003</t>
        </is>
      </c>
      <c r="G15" s="4" t="inlineStr">
        <is>
          <t>3003</t>
        </is>
      </c>
      <c r="H15" s="23" t="n">
        <v>30</v>
      </c>
      <c r="I15" s="23">
        <f>IF(D15=312, -H15, H15)</f>
        <v/>
      </c>
      <c r="J15" s="4" t="inlineStr">
        <is>
          <t>10:00-11:00</t>
        </is>
      </c>
    </row>
    <row r="16">
      <c r="A16" s="4" t="inlineStr">
        <is>
          <t>BIW30001038</t>
        </is>
      </c>
      <c r="B16" s="4" t="inlineStr">
        <is>
          <t>23.10.2026</t>
        </is>
      </c>
      <c r="C16" s="4" t="inlineStr">
        <is>
          <t>11:37:48</t>
        </is>
      </c>
      <c r="D16" s="4" t="n">
        <v>311</v>
      </c>
      <c r="E16" s="4" t="inlineStr">
        <is>
          <t>3001</t>
        </is>
      </c>
      <c r="F16" s="4" t="inlineStr">
        <is>
          <t>1003</t>
        </is>
      </c>
      <c r="G16" s="4" t="inlineStr">
        <is>
          <t>3003</t>
        </is>
      </c>
      <c r="H16" s="23" t="n">
        <v>45</v>
      </c>
      <c r="I16" s="23">
        <f>IF(D16=312, -H16, H16)</f>
        <v/>
      </c>
      <c r="J16" s="4" t="inlineStr">
        <is>
          <t>11:00-12:00</t>
        </is>
      </c>
    </row>
    <row r="17">
      <c r="A17" s="4" t="inlineStr">
        <is>
          <t>BIW30001039</t>
        </is>
      </c>
      <c r="B17" s="4" t="inlineStr">
        <is>
          <t>23.10.2026</t>
        </is>
      </c>
      <c r="C17" s="4" t="inlineStr">
        <is>
          <t>06:17:19</t>
        </is>
      </c>
      <c r="D17" s="4" t="n">
        <v>311</v>
      </c>
      <c r="E17" s="4" t="inlineStr">
        <is>
          <t>3001</t>
        </is>
      </c>
      <c r="F17" s="4" t="inlineStr">
        <is>
          <t>1003</t>
        </is>
      </c>
      <c r="G17" s="4" t="inlineStr">
        <is>
          <t>3003</t>
        </is>
      </c>
      <c r="H17" s="23" t="n">
        <v>45</v>
      </c>
      <c r="I17" s="23">
        <f>IF(D17=312, -H17, H17)</f>
        <v/>
      </c>
      <c r="J17" s="4" t="inlineStr">
        <is>
          <t>06:00-07:00</t>
        </is>
      </c>
    </row>
    <row r="18">
      <c r="A18" s="4" t="inlineStr">
        <is>
          <t>BIW30001039</t>
        </is>
      </c>
      <c r="B18" s="4" t="inlineStr">
        <is>
          <t>23.10.2026</t>
        </is>
      </c>
      <c r="C18" s="4" t="inlineStr">
        <is>
          <t>07:28:58</t>
        </is>
      </c>
      <c r="D18" s="4" t="n">
        <v>311</v>
      </c>
      <c r="E18" s="4" t="inlineStr">
        <is>
          <t>3001</t>
        </is>
      </c>
      <c r="F18" s="4" t="inlineStr">
        <is>
          <t>1003</t>
        </is>
      </c>
      <c r="G18" s="4" t="inlineStr">
        <is>
          <t>3003</t>
        </is>
      </c>
      <c r="H18" s="23" t="n">
        <v>100</v>
      </c>
      <c r="I18" s="23">
        <f>IF(D18=312, -H18, H18)</f>
        <v/>
      </c>
      <c r="J18" s="4" t="inlineStr">
        <is>
          <t>07:00-08:00</t>
        </is>
      </c>
    </row>
    <row r="19">
      <c r="A19" s="4" t="inlineStr">
        <is>
          <t>BIW30001039</t>
        </is>
      </c>
      <c r="B19" s="4" t="inlineStr">
        <is>
          <t>23.10.2026</t>
        </is>
      </c>
      <c r="C19" s="4" t="inlineStr">
        <is>
          <t>08:15:44</t>
        </is>
      </c>
      <c r="D19" s="4" t="n">
        <v>311</v>
      </c>
      <c r="E19" s="4" t="inlineStr">
        <is>
          <t>3001</t>
        </is>
      </c>
      <c r="F19" s="4" t="inlineStr">
        <is>
          <t>1003</t>
        </is>
      </c>
      <c r="G19" s="4" t="inlineStr">
        <is>
          <t>3003</t>
        </is>
      </c>
      <c r="H19" s="23" t="n">
        <v>100</v>
      </c>
      <c r="I19" s="23">
        <f>IF(D19=312, -H19, H19)</f>
        <v/>
      </c>
      <c r="J19" s="4" t="inlineStr">
        <is>
          <t>08:00-09:00</t>
        </is>
      </c>
    </row>
    <row r="20">
      <c r="A20" s="4" t="inlineStr">
        <is>
          <t>BIW30001039</t>
        </is>
      </c>
      <c r="B20" s="4" t="inlineStr">
        <is>
          <t>23.10.2026</t>
        </is>
      </c>
      <c r="C20" s="4" t="inlineStr">
        <is>
          <t>10:38:10</t>
        </is>
      </c>
      <c r="D20" s="4" t="n">
        <v>311</v>
      </c>
      <c r="E20" s="4" t="inlineStr">
        <is>
          <t>3001</t>
        </is>
      </c>
      <c r="F20" s="4" t="inlineStr">
        <is>
          <t>1003</t>
        </is>
      </c>
      <c r="G20" s="4" t="inlineStr">
        <is>
          <t>3003</t>
        </is>
      </c>
      <c r="H20" s="23" t="n">
        <v>30</v>
      </c>
      <c r="I20" s="23">
        <f>IF(D20=312, -H20, H20)</f>
        <v/>
      </c>
      <c r="J20" s="4" t="inlineStr">
        <is>
          <t>10:00-11:00</t>
        </is>
      </c>
    </row>
    <row r="21">
      <c r="A21" s="4" t="inlineStr">
        <is>
          <t>BIW30001039</t>
        </is>
      </c>
      <c r="B21" s="4" t="inlineStr">
        <is>
          <t>23.10.2026</t>
        </is>
      </c>
      <c r="C21" s="4" t="inlineStr">
        <is>
          <t>11:43:30</t>
        </is>
      </c>
      <c r="D21" s="4" t="n">
        <v>311</v>
      </c>
      <c r="E21" s="4" t="inlineStr">
        <is>
          <t>3001</t>
        </is>
      </c>
      <c r="F21" s="4" t="inlineStr">
        <is>
          <t>1003</t>
        </is>
      </c>
      <c r="G21" s="4" t="inlineStr">
        <is>
          <t>3003</t>
        </is>
      </c>
      <c r="H21" s="23" t="n">
        <v>100</v>
      </c>
      <c r="I21" s="23">
        <f>IF(D21=312, -H21, H21)</f>
        <v/>
      </c>
      <c r="J21" s="4" t="inlineStr">
        <is>
          <t>11:00-12:00</t>
        </is>
      </c>
    </row>
    <row r="22">
      <c r="A22" s="4" t="inlineStr">
        <is>
          <t>BIW30001060AA</t>
        </is>
      </c>
      <c r="B22" s="4" t="inlineStr">
        <is>
          <t>23.10.2026</t>
        </is>
      </c>
      <c r="C22" s="4" t="inlineStr">
        <is>
          <t>06:36:11</t>
        </is>
      </c>
      <c r="D22" s="4" t="n">
        <v>311</v>
      </c>
      <c r="E22" s="4" t="inlineStr">
        <is>
          <t>3001</t>
        </is>
      </c>
      <c r="F22" s="4" t="inlineStr">
        <is>
          <t>1003</t>
        </is>
      </c>
      <c r="G22" s="4" t="inlineStr">
        <is>
          <t>3003</t>
        </is>
      </c>
      <c r="H22" s="23" t="n">
        <v>45</v>
      </c>
      <c r="I22" s="23">
        <f>IF(D22=312, -H22, H22)</f>
        <v/>
      </c>
      <c r="J22" s="4" t="inlineStr">
        <is>
          <t>06:00-07:00</t>
        </is>
      </c>
    </row>
    <row r="23">
      <c r="A23" s="4" t="inlineStr">
        <is>
          <t>BIW30001060AA</t>
        </is>
      </c>
      <c r="B23" s="4" t="inlineStr">
        <is>
          <t>23.10.2026</t>
        </is>
      </c>
      <c r="C23" s="4" t="inlineStr">
        <is>
          <t>07:12:33</t>
        </is>
      </c>
      <c r="D23" s="4" t="n">
        <v>311</v>
      </c>
      <c r="E23" s="4" t="inlineStr">
        <is>
          <t>3001</t>
        </is>
      </c>
      <c r="F23" s="4" t="inlineStr">
        <is>
          <t>1003</t>
        </is>
      </c>
      <c r="G23" s="4" t="inlineStr">
        <is>
          <t>3003</t>
        </is>
      </c>
      <c r="H23" s="23" t="n">
        <v>100</v>
      </c>
      <c r="I23" s="23">
        <f>IF(D23=312, -H23, H23)</f>
        <v/>
      </c>
      <c r="J23" s="4" t="inlineStr">
        <is>
          <t>07:00-08:00</t>
        </is>
      </c>
    </row>
    <row r="24">
      <c r="A24" s="4" t="inlineStr">
        <is>
          <t>BIW30001060AA</t>
        </is>
      </c>
      <c r="B24" s="4" t="inlineStr">
        <is>
          <t>23.10.2026</t>
        </is>
      </c>
      <c r="C24" s="4" t="inlineStr">
        <is>
          <t>08:24:25</t>
        </is>
      </c>
      <c r="D24" s="4" t="n">
        <v>311</v>
      </c>
      <c r="E24" s="4" t="inlineStr">
        <is>
          <t>3001</t>
        </is>
      </c>
      <c r="F24" s="4" t="inlineStr">
        <is>
          <t>1003</t>
        </is>
      </c>
      <c r="G24" s="4" t="inlineStr">
        <is>
          <t>3003</t>
        </is>
      </c>
      <c r="H24" s="23" t="n">
        <v>80</v>
      </c>
      <c r="I24" s="23">
        <f>IF(D24=312, -H24, H24)</f>
        <v/>
      </c>
      <c r="J24" s="4" t="inlineStr">
        <is>
          <t>08:00-09:00</t>
        </is>
      </c>
    </row>
    <row r="25">
      <c r="A25" s="4" t="inlineStr">
        <is>
          <t>BIW30001060AA</t>
        </is>
      </c>
      <c r="B25" s="4" t="inlineStr">
        <is>
          <t>23.10.2026</t>
        </is>
      </c>
      <c r="C25" s="4" t="inlineStr">
        <is>
          <t>10:08:25</t>
        </is>
      </c>
      <c r="D25" s="4" t="n">
        <v>311</v>
      </c>
      <c r="E25" s="4" t="inlineStr">
        <is>
          <t>3001</t>
        </is>
      </c>
      <c r="F25" s="4" t="inlineStr">
        <is>
          <t>1003</t>
        </is>
      </c>
      <c r="G25" s="4" t="inlineStr">
        <is>
          <t>3003</t>
        </is>
      </c>
      <c r="H25" s="23" t="n">
        <v>30</v>
      </c>
      <c r="I25" s="23">
        <f>IF(D25=312, -H25, H25)</f>
        <v/>
      </c>
      <c r="J25" s="4" t="inlineStr">
        <is>
          <t>10:00-11:00</t>
        </is>
      </c>
    </row>
    <row r="26">
      <c r="A26" s="4" t="inlineStr">
        <is>
          <t>BIW30001060AA</t>
        </is>
      </c>
      <c r="B26" s="4" t="inlineStr">
        <is>
          <t>23.10.2026</t>
        </is>
      </c>
      <c r="C26" s="4" t="inlineStr">
        <is>
          <t>11:41:15</t>
        </is>
      </c>
      <c r="D26" s="4" t="n">
        <v>311</v>
      </c>
      <c r="E26" s="4" t="inlineStr">
        <is>
          <t>3001</t>
        </is>
      </c>
      <c r="F26" s="4" t="inlineStr">
        <is>
          <t>1003</t>
        </is>
      </c>
      <c r="G26" s="4" t="inlineStr">
        <is>
          <t>3003</t>
        </is>
      </c>
      <c r="H26" s="23" t="n">
        <v>80</v>
      </c>
      <c r="I26" s="23">
        <f>IF(D26=312, -H26, H26)</f>
        <v/>
      </c>
      <c r="J26" s="4" t="inlineStr">
        <is>
          <t>11:00-12:00</t>
        </is>
      </c>
    </row>
    <row r="27">
      <c r="A27" s="4" t="inlineStr">
        <is>
          <t>BIW30001062</t>
        </is>
      </c>
      <c r="B27" s="4" t="inlineStr">
        <is>
          <t>23.10.2026</t>
        </is>
      </c>
      <c r="C27" s="4" t="inlineStr">
        <is>
          <t>06:10:56</t>
        </is>
      </c>
      <c r="D27" s="4" t="n">
        <v>311</v>
      </c>
      <c r="E27" s="4" t="inlineStr">
        <is>
          <t>3001</t>
        </is>
      </c>
      <c r="F27" s="4" t="inlineStr">
        <is>
          <t>1003</t>
        </is>
      </c>
      <c r="G27" s="4" t="inlineStr">
        <is>
          <t>3003</t>
        </is>
      </c>
      <c r="H27" s="23" t="n">
        <v>100</v>
      </c>
      <c r="I27" s="23">
        <f>IF(D27=312, -H27, H27)</f>
        <v/>
      </c>
      <c r="J27" s="4" t="inlineStr">
        <is>
          <t>06:00-07:00</t>
        </is>
      </c>
    </row>
    <row r="28">
      <c r="A28" s="4" t="inlineStr">
        <is>
          <t>BIW30001062</t>
        </is>
      </c>
      <c r="B28" s="4" t="inlineStr">
        <is>
          <t>23.10.2026</t>
        </is>
      </c>
      <c r="C28" s="4" t="inlineStr">
        <is>
          <t>07:36:14</t>
        </is>
      </c>
      <c r="D28" s="4" t="n">
        <v>311</v>
      </c>
      <c r="E28" s="4" t="inlineStr">
        <is>
          <t>3001</t>
        </is>
      </c>
      <c r="F28" s="4" t="inlineStr">
        <is>
          <t>1003</t>
        </is>
      </c>
      <c r="G28" s="4" t="inlineStr">
        <is>
          <t>3003</t>
        </is>
      </c>
      <c r="H28" s="23" t="n">
        <v>60</v>
      </c>
      <c r="I28" s="23">
        <f>IF(D28=312, -H28, H28)</f>
        <v/>
      </c>
      <c r="J28" s="4" t="inlineStr">
        <is>
          <t>07:00-08:00</t>
        </is>
      </c>
    </row>
    <row r="29">
      <c r="A29" s="4" t="inlineStr">
        <is>
          <t>BIW30001062</t>
        </is>
      </c>
      <c r="B29" s="4" t="inlineStr">
        <is>
          <t>23.10.2026</t>
        </is>
      </c>
      <c r="C29" s="4" t="inlineStr">
        <is>
          <t>08:39:59</t>
        </is>
      </c>
      <c r="D29" s="4" t="n">
        <v>311</v>
      </c>
      <c r="E29" s="4" t="inlineStr">
        <is>
          <t>3001</t>
        </is>
      </c>
      <c r="F29" s="4" t="inlineStr">
        <is>
          <t>1003</t>
        </is>
      </c>
      <c r="G29" s="4" t="inlineStr">
        <is>
          <t>3003</t>
        </is>
      </c>
      <c r="H29" s="23" t="n">
        <v>30</v>
      </c>
      <c r="I29" s="23">
        <f>IF(D29=312, -H29, H29)</f>
        <v/>
      </c>
      <c r="J29" s="4" t="inlineStr">
        <is>
          <t>08:00-09:00</t>
        </is>
      </c>
    </row>
    <row r="30">
      <c r="A30" s="4" t="inlineStr">
        <is>
          <t>BIW30001062</t>
        </is>
      </c>
      <c r="B30" s="4" t="inlineStr">
        <is>
          <t>23.10.2026</t>
        </is>
      </c>
      <c r="C30" s="4" t="inlineStr">
        <is>
          <t>10:13:18</t>
        </is>
      </c>
      <c r="D30" s="4" t="n">
        <v>311</v>
      </c>
      <c r="E30" s="4" t="inlineStr">
        <is>
          <t>3001</t>
        </is>
      </c>
      <c r="F30" s="4" t="inlineStr">
        <is>
          <t>1003</t>
        </is>
      </c>
      <c r="G30" s="4" t="inlineStr">
        <is>
          <t>3003</t>
        </is>
      </c>
      <c r="H30" s="23" t="n">
        <v>45</v>
      </c>
      <c r="I30" s="23">
        <f>IF(D30=312, -H30, H30)</f>
        <v/>
      </c>
      <c r="J30" s="4" t="inlineStr">
        <is>
          <t>10:00-11:00</t>
        </is>
      </c>
    </row>
    <row r="31">
      <c r="A31" s="4" t="inlineStr">
        <is>
          <t>BIW30001062</t>
        </is>
      </c>
      <c r="B31" s="4" t="inlineStr">
        <is>
          <t>23.10.2026</t>
        </is>
      </c>
      <c r="C31" s="4" t="inlineStr">
        <is>
          <t>11:47:40</t>
        </is>
      </c>
      <c r="D31" s="4" t="n">
        <v>311</v>
      </c>
      <c r="E31" s="4" t="inlineStr">
        <is>
          <t>3001</t>
        </is>
      </c>
      <c r="F31" s="4" t="inlineStr">
        <is>
          <t>1003</t>
        </is>
      </c>
      <c r="G31" s="4" t="inlineStr">
        <is>
          <t>3003</t>
        </is>
      </c>
      <c r="H31" s="23" t="n">
        <v>80</v>
      </c>
      <c r="I31" s="23">
        <f>IF(D31=312, -H31, H31)</f>
        <v/>
      </c>
      <c r="J31" s="4" t="inlineStr">
        <is>
          <t>11:00-12:00</t>
        </is>
      </c>
    </row>
    <row r="32">
      <c r="A32" s="4" t="inlineStr">
        <is>
          <t>BIW30001066AA</t>
        </is>
      </c>
      <c r="B32" s="4" t="inlineStr">
        <is>
          <t>23.10.2026</t>
        </is>
      </c>
      <c r="C32" s="4" t="inlineStr">
        <is>
          <t>06:40:20</t>
        </is>
      </c>
      <c r="D32" s="4" t="n">
        <v>311</v>
      </c>
      <c r="E32" s="4" t="inlineStr">
        <is>
          <t>3001</t>
        </is>
      </c>
      <c r="F32" s="4" t="inlineStr">
        <is>
          <t>1003</t>
        </is>
      </c>
      <c r="G32" s="4" t="inlineStr">
        <is>
          <t>3003</t>
        </is>
      </c>
      <c r="H32" s="23" t="n">
        <v>60</v>
      </c>
      <c r="I32" s="23">
        <f>IF(D32=312, -H32, H32)</f>
        <v/>
      </c>
      <c r="J32" s="4" t="inlineStr">
        <is>
          <t>06:00-07:00</t>
        </is>
      </c>
    </row>
    <row r="33">
      <c r="A33" s="4" t="inlineStr">
        <is>
          <t>BIW30001066AA</t>
        </is>
      </c>
      <c r="B33" s="4" t="inlineStr">
        <is>
          <t>23.10.2026</t>
        </is>
      </c>
      <c r="C33" s="4" t="inlineStr">
        <is>
          <t>07:21:43</t>
        </is>
      </c>
      <c r="D33" s="4" t="n">
        <v>311</v>
      </c>
      <c r="E33" s="4" t="inlineStr">
        <is>
          <t>3001</t>
        </is>
      </c>
      <c r="F33" s="4" t="inlineStr">
        <is>
          <t>1003</t>
        </is>
      </c>
      <c r="G33" s="4" t="inlineStr">
        <is>
          <t>3003</t>
        </is>
      </c>
      <c r="H33" s="23" t="n">
        <v>60</v>
      </c>
      <c r="I33" s="23">
        <f>IF(D33=312, -H33, H33)</f>
        <v/>
      </c>
      <c r="J33" s="4" t="inlineStr">
        <is>
          <t>07:00-08:00</t>
        </is>
      </c>
    </row>
    <row r="34">
      <c r="A34" s="4" t="inlineStr">
        <is>
          <t>BIW30001066AA</t>
        </is>
      </c>
      <c r="B34" s="4" t="inlineStr">
        <is>
          <t>23.10.2026</t>
        </is>
      </c>
      <c r="C34" s="4" t="inlineStr">
        <is>
          <t>08:43:37</t>
        </is>
      </c>
      <c r="D34" s="4" t="n">
        <v>311</v>
      </c>
      <c r="E34" s="4" t="inlineStr">
        <is>
          <t>3001</t>
        </is>
      </c>
      <c r="F34" s="4" t="inlineStr">
        <is>
          <t>1003</t>
        </is>
      </c>
      <c r="G34" s="4" t="inlineStr">
        <is>
          <t>3003</t>
        </is>
      </c>
      <c r="H34" s="23" t="n">
        <v>45</v>
      </c>
      <c r="I34" s="23">
        <f>IF(D34=312, -H34, H34)</f>
        <v/>
      </c>
      <c r="J34" s="4" t="inlineStr">
        <is>
          <t>08:00-09:00</t>
        </is>
      </c>
    </row>
    <row r="35">
      <c r="A35" s="4" t="inlineStr">
        <is>
          <t>BIW30001066AA</t>
        </is>
      </c>
      <c r="B35" s="4" t="inlineStr">
        <is>
          <t>23.10.2026</t>
        </is>
      </c>
      <c r="C35" s="4" t="inlineStr">
        <is>
          <t>10:18:44</t>
        </is>
      </c>
      <c r="D35" s="4" t="n">
        <v>311</v>
      </c>
      <c r="E35" s="4" t="inlineStr">
        <is>
          <t>3001</t>
        </is>
      </c>
      <c r="F35" s="4" t="inlineStr">
        <is>
          <t>1003</t>
        </is>
      </c>
      <c r="G35" s="4" t="inlineStr">
        <is>
          <t>3003</t>
        </is>
      </c>
      <c r="H35" s="23" t="n">
        <v>45</v>
      </c>
      <c r="I35" s="23">
        <f>IF(D35=312, -H35, H35)</f>
        <v/>
      </c>
      <c r="J35" s="4" t="inlineStr">
        <is>
          <t>10:00-11:00</t>
        </is>
      </c>
    </row>
    <row r="36">
      <c r="A36" s="4" t="inlineStr">
        <is>
          <t>BIW30001066AA</t>
        </is>
      </c>
      <c r="B36" s="4" t="inlineStr">
        <is>
          <t>23.10.2026</t>
        </is>
      </c>
      <c r="C36" s="4" t="inlineStr">
        <is>
          <t>11:49:22</t>
        </is>
      </c>
      <c r="D36" s="4" t="n">
        <v>311</v>
      </c>
      <c r="E36" s="4" t="inlineStr">
        <is>
          <t>3001</t>
        </is>
      </c>
      <c r="F36" s="4" t="inlineStr">
        <is>
          <t>1003</t>
        </is>
      </c>
      <c r="G36" s="4" t="inlineStr">
        <is>
          <t>3003</t>
        </is>
      </c>
      <c r="H36" s="23" t="n">
        <v>60</v>
      </c>
      <c r="I36" s="23">
        <f>IF(D36=312, -H36, H36)</f>
        <v/>
      </c>
      <c r="J36" s="4" t="inlineStr">
        <is>
          <t>11:00-12:00</t>
        </is>
      </c>
    </row>
    <row r="37">
      <c r="A37" s="4" t="inlineStr">
        <is>
          <t>BIW30001200</t>
        </is>
      </c>
      <c r="B37" s="4" t="inlineStr">
        <is>
          <t>23.10.2026</t>
        </is>
      </c>
      <c r="C37" s="4" t="inlineStr">
        <is>
          <t>06:50:29</t>
        </is>
      </c>
      <c r="D37" s="4" t="n">
        <v>311</v>
      </c>
      <c r="E37" s="4" t="inlineStr">
        <is>
          <t>3001</t>
        </is>
      </c>
      <c r="F37" s="4" t="inlineStr">
        <is>
          <t>1003</t>
        </is>
      </c>
      <c r="G37" s="4" t="inlineStr">
        <is>
          <t>3003</t>
        </is>
      </c>
      <c r="H37" s="23" t="n">
        <v>30</v>
      </c>
      <c r="I37" s="23">
        <f>IF(D37=312, -H37, H37)</f>
        <v/>
      </c>
      <c r="J37" s="4" t="inlineStr">
        <is>
          <t>06:00-07:00</t>
        </is>
      </c>
    </row>
    <row r="38">
      <c r="A38" s="4" t="inlineStr">
        <is>
          <t>BIW30001200</t>
        </is>
      </c>
      <c r="B38" s="4" t="inlineStr">
        <is>
          <t>23.10.2026</t>
        </is>
      </c>
      <c r="C38" s="4" t="inlineStr">
        <is>
          <t>07:30:52</t>
        </is>
      </c>
      <c r="D38" s="4" t="n">
        <v>311</v>
      </c>
      <c r="E38" s="4" t="inlineStr">
        <is>
          <t>3001</t>
        </is>
      </c>
      <c r="F38" s="4" t="inlineStr">
        <is>
          <t>1003</t>
        </is>
      </c>
      <c r="G38" s="4" t="inlineStr">
        <is>
          <t>3003</t>
        </is>
      </c>
      <c r="H38" s="23" t="n">
        <v>30</v>
      </c>
      <c r="I38" s="23">
        <f>IF(D38=312, -H38, H38)</f>
        <v/>
      </c>
      <c r="J38" s="4" t="inlineStr">
        <is>
          <t>07:00-08:00</t>
        </is>
      </c>
    </row>
    <row r="39">
      <c r="A39" s="4" t="inlineStr">
        <is>
          <t>BIW30001200</t>
        </is>
      </c>
      <c r="B39" s="4" t="inlineStr">
        <is>
          <t>23.10.2026</t>
        </is>
      </c>
      <c r="C39" s="4" t="inlineStr">
        <is>
          <t>08:46:33</t>
        </is>
      </c>
      <c r="D39" s="4" t="n">
        <v>311</v>
      </c>
      <c r="E39" s="4" t="inlineStr">
        <is>
          <t>3001</t>
        </is>
      </c>
      <c r="F39" s="4" t="inlineStr">
        <is>
          <t>1003</t>
        </is>
      </c>
      <c r="G39" s="4" t="inlineStr">
        <is>
          <t>3003</t>
        </is>
      </c>
      <c r="H39" s="23" t="n">
        <v>80</v>
      </c>
      <c r="I39" s="23">
        <f>IF(D39=312, -H39, H39)</f>
        <v/>
      </c>
      <c r="J39" s="4" t="inlineStr">
        <is>
          <t>08:00-09:00</t>
        </is>
      </c>
    </row>
    <row r="40">
      <c r="A40" s="4" t="inlineStr">
        <is>
          <t>BIW30001200</t>
        </is>
      </c>
      <c r="B40" s="4" t="inlineStr">
        <is>
          <t>23.10.2026</t>
        </is>
      </c>
      <c r="C40" s="4" t="inlineStr">
        <is>
          <t>10:33:43</t>
        </is>
      </c>
      <c r="D40" s="4" t="n">
        <v>311</v>
      </c>
      <c r="E40" s="4" t="inlineStr">
        <is>
          <t>3001</t>
        </is>
      </c>
      <c r="F40" s="4" t="inlineStr">
        <is>
          <t>1003</t>
        </is>
      </c>
      <c r="G40" s="4" t="inlineStr">
        <is>
          <t>3003</t>
        </is>
      </c>
      <c r="H40" s="23" t="n">
        <v>30</v>
      </c>
      <c r="I40" s="23">
        <f>IF(D40=312, -H40, H40)</f>
        <v/>
      </c>
      <c r="J40" s="4" t="inlineStr">
        <is>
          <t>10:00-11:00</t>
        </is>
      </c>
    </row>
    <row r="41">
      <c r="A41" s="4" t="inlineStr">
        <is>
          <t>BIW30001200</t>
        </is>
      </c>
      <c r="B41" s="4" t="inlineStr">
        <is>
          <t>23.10.2026</t>
        </is>
      </c>
      <c r="C41" s="4" t="inlineStr">
        <is>
          <t>11:33:17</t>
        </is>
      </c>
      <c r="D41" s="4" t="n">
        <v>311</v>
      </c>
      <c r="E41" s="4" t="inlineStr">
        <is>
          <t>3001</t>
        </is>
      </c>
      <c r="F41" s="4" t="inlineStr">
        <is>
          <t>1003</t>
        </is>
      </c>
      <c r="G41" s="4" t="inlineStr">
        <is>
          <t>3003</t>
        </is>
      </c>
      <c r="H41" s="23" t="n">
        <v>60</v>
      </c>
      <c r="I41" s="23">
        <f>IF(D41=312, -H41, H41)</f>
        <v/>
      </c>
      <c r="J41" s="4" t="inlineStr">
        <is>
          <t>11:00-12:00</t>
        </is>
      </c>
    </row>
    <row r="42">
      <c r="A42" s="4" t="inlineStr">
        <is>
          <t>BIW30002039</t>
        </is>
      </c>
      <c r="B42" s="4" t="inlineStr">
        <is>
          <t>23.10.2026</t>
        </is>
      </c>
      <c r="C42" s="4" t="inlineStr">
        <is>
          <t>06:20:24</t>
        </is>
      </c>
      <c r="D42" s="4" t="n">
        <v>311</v>
      </c>
      <c r="E42" s="4" t="inlineStr">
        <is>
          <t>3001</t>
        </is>
      </c>
      <c r="F42" s="4" t="inlineStr">
        <is>
          <t>1003</t>
        </is>
      </c>
      <c r="G42" s="4" t="inlineStr">
        <is>
          <t>3003</t>
        </is>
      </c>
      <c r="H42" s="23" t="n">
        <v>60</v>
      </c>
      <c r="I42" s="23">
        <f>IF(D42=312, -H42, H42)</f>
        <v/>
      </c>
      <c r="J42" s="4" t="inlineStr">
        <is>
          <t>06:00-07:00</t>
        </is>
      </c>
    </row>
    <row r="43">
      <c r="A43" s="4" t="inlineStr">
        <is>
          <t>BIW30002039</t>
        </is>
      </c>
      <c r="B43" s="4" t="inlineStr">
        <is>
          <t>23.10.2026</t>
        </is>
      </c>
      <c r="C43" s="4" t="inlineStr">
        <is>
          <t>07:09:31</t>
        </is>
      </c>
      <c r="D43" s="4" t="n">
        <v>311</v>
      </c>
      <c r="E43" s="4" t="inlineStr">
        <is>
          <t>3001</t>
        </is>
      </c>
      <c r="F43" s="4" t="inlineStr">
        <is>
          <t>1003</t>
        </is>
      </c>
      <c r="G43" s="4" t="inlineStr">
        <is>
          <t>3003</t>
        </is>
      </c>
      <c r="H43" s="23" t="n">
        <v>100</v>
      </c>
      <c r="I43" s="23">
        <f>IF(D43=312, -H43, H43)</f>
        <v/>
      </c>
      <c r="J43" s="4" t="inlineStr">
        <is>
          <t>07:00-08:00</t>
        </is>
      </c>
    </row>
    <row r="44">
      <c r="A44" s="4" t="inlineStr">
        <is>
          <t>BIW30002039</t>
        </is>
      </c>
      <c r="B44" s="4" t="inlineStr">
        <is>
          <t>23.10.2026</t>
        </is>
      </c>
      <c r="C44" s="4" t="inlineStr">
        <is>
          <t>08:06:47</t>
        </is>
      </c>
      <c r="D44" s="4" t="n">
        <v>311</v>
      </c>
      <c r="E44" s="4" t="inlineStr">
        <is>
          <t>3001</t>
        </is>
      </c>
      <c r="F44" s="4" t="inlineStr">
        <is>
          <t>1003</t>
        </is>
      </c>
      <c r="G44" s="4" t="inlineStr">
        <is>
          <t>3003</t>
        </is>
      </c>
      <c r="H44" s="23" t="n">
        <v>60</v>
      </c>
      <c r="I44" s="23">
        <f>IF(D44=312, -H44, H44)</f>
        <v/>
      </c>
      <c r="J44" s="4" t="inlineStr">
        <is>
          <t>08:00-09:00</t>
        </is>
      </c>
    </row>
    <row r="45">
      <c r="A45" s="4" t="inlineStr">
        <is>
          <t>BIW30002039</t>
        </is>
      </c>
      <c r="B45" s="4" t="inlineStr">
        <is>
          <t>23.10.2026</t>
        </is>
      </c>
      <c r="C45" s="4" t="inlineStr">
        <is>
          <t>10:40:24</t>
        </is>
      </c>
      <c r="D45" s="4" t="n">
        <v>311</v>
      </c>
      <c r="E45" s="4" t="inlineStr">
        <is>
          <t>3001</t>
        </is>
      </c>
      <c r="F45" s="4" t="inlineStr">
        <is>
          <t>1003</t>
        </is>
      </c>
      <c r="G45" s="4" t="inlineStr">
        <is>
          <t>3003</t>
        </is>
      </c>
      <c r="H45" s="23" t="n">
        <v>30</v>
      </c>
      <c r="I45" s="23">
        <f>IF(D45=312, -H45, H45)</f>
        <v/>
      </c>
      <c r="J45" s="4" t="inlineStr">
        <is>
          <t>10:00-11:00</t>
        </is>
      </c>
    </row>
    <row r="46">
      <c r="A46" s="4" t="inlineStr">
        <is>
          <t>BIW30002039</t>
        </is>
      </c>
      <c r="B46" s="4" t="inlineStr">
        <is>
          <t>23.10.2026</t>
        </is>
      </c>
      <c r="C46" s="4" t="inlineStr">
        <is>
          <t>11:42:24</t>
        </is>
      </c>
      <c r="D46" s="4" t="n">
        <v>311</v>
      </c>
      <c r="E46" s="4" t="inlineStr">
        <is>
          <t>3001</t>
        </is>
      </c>
      <c r="F46" s="4" t="inlineStr">
        <is>
          <t>1003</t>
        </is>
      </c>
      <c r="G46" s="4" t="inlineStr">
        <is>
          <t>3003</t>
        </is>
      </c>
      <c r="H46" s="23" t="n">
        <v>80</v>
      </c>
      <c r="I46" s="23">
        <f>IF(D46=312, -H46, H46)</f>
        <v/>
      </c>
      <c r="J46" s="4" t="inlineStr">
        <is>
          <t>11:00-12:00</t>
        </is>
      </c>
    </row>
    <row r="47">
      <c r="A47" s="4" t="inlineStr">
        <is>
          <t>BIW30002040</t>
        </is>
      </c>
      <c r="B47" s="4" t="inlineStr">
        <is>
          <t>23.10.2026</t>
        </is>
      </c>
      <c r="C47" s="4" t="inlineStr">
        <is>
          <t>06:05:14</t>
        </is>
      </c>
      <c r="D47" s="4" t="n">
        <v>311</v>
      </c>
      <c r="E47" s="4" t="inlineStr">
        <is>
          <t>3001</t>
        </is>
      </c>
      <c r="F47" s="4" t="inlineStr">
        <is>
          <t>1003</t>
        </is>
      </c>
      <c r="G47" s="4" t="inlineStr">
        <is>
          <t>3003</t>
        </is>
      </c>
      <c r="H47" s="23" t="n">
        <v>100</v>
      </c>
      <c r="I47" s="23">
        <f>IF(D47=312, -H47, H47)</f>
        <v/>
      </c>
      <c r="J47" s="4" t="inlineStr">
        <is>
          <t>06:00-07:00</t>
        </is>
      </c>
    </row>
    <row r="48">
      <c r="A48" s="4" t="inlineStr">
        <is>
          <t>BIW30002040</t>
        </is>
      </c>
      <c r="B48" s="4" t="inlineStr">
        <is>
          <t>23.10.2026</t>
        </is>
      </c>
      <c r="C48" s="4" t="inlineStr">
        <is>
          <t>07:50:50</t>
        </is>
      </c>
      <c r="D48" s="4" t="n">
        <v>311</v>
      </c>
      <c r="E48" s="4" t="inlineStr">
        <is>
          <t>3001</t>
        </is>
      </c>
      <c r="F48" s="4" t="inlineStr">
        <is>
          <t>1003</t>
        </is>
      </c>
      <c r="G48" s="4" t="inlineStr">
        <is>
          <t>3003</t>
        </is>
      </c>
      <c r="H48" s="23" t="n">
        <v>30</v>
      </c>
      <c r="I48" s="23">
        <f>IF(D48=312, -H48, H48)</f>
        <v/>
      </c>
      <c r="J48" s="4" t="inlineStr">
        <is>
          <t>07:00-08:00</t>
        </is>
      </c>
    </row>
    <row r="49">
      <c r="A49" s="4" t="inlineStr">
        <is>
          <t>BIW30002040</t>
        </is>
      </c>
      <c r="B49" s="4" t="inlineStr">
        <is>
          <t>23.10.2026</t>
        </is>
      </c>
      <c r="C49" s="4" t="inlineStr">
        <is>
          <t>08:08:24</t>
        </is>
      </c>
      <c r="D49" s="4" t="n">
        <v>311</v>
      </c>
      <c r="E49" s="4" t="inlineStr">
        <is>
          <t>3001</t>
        </is>
      </c>
      <c r="F49" s="4" t="inlineStr">
        <is>
          <t>1003</t>
        </is>
      </c>
      <c r="G49" s="4" t="inlineStr">
        <is>
          <t>3003</t>
        </is>
      </c>
      <c r="H49" s="23" t="n">
        <v>80</v>
      </c>
      <c r="I49" s="23">
        <f>IF(D49=312, -H49, H49)</f>
        <v/>
      </c>
      <c r="J49" s="4" t="inlineStr">
        <is>
          <t>08:00-09:00</t>
        </is>
      </c>
    </row>
    <row r="50">
      <c r="A50" s="4" t="inlineStr">
        <is>
          <t>BIW30002040</t>
        </is>
      </c>
      <c r="B50" s="4" t="inlineStr">
        <is>
          <t>23.10.2026</t>
        </is>
      </c>
      <c r="C50" s="4" t="inlineStr">
        <is>
          <t>10:09:12</t>
        </is>
      </c>
      <c r="D50" s="4" t="n">
        <v>311</v>
      </c>
      <c r="E50" s="4" t="inlineStr">
        <is>
          <t>3001</t>
        </is>
      </c>
      <c r="F50" s="4" t="inlineStr">
        <is>
          <t>1003</t>
        </is>
      </c>
      <c r="G50" s="4" t="inlineStr">
        <is>
          <t>3003</t>
        </is>
      </c>
      <c r="H50" s="23" t="n">
        <v>30</v>
      </c>
      <c r="I50" s="23">
        <f>IF(D50=312, -H50, H50)</f>
        <v/>
      </c>
      <c r="J50" s="4" t="inlineStr">
        <is>
          <t>10:00-11:00</t>
        </is>
      </c>
    </row>
    <row r="51">
      <c r="A51" s="4" t="inlineStr">
        <is>
          <t>BIW30002040</t>
        </is>
      </c>
      <c r="B51" s="4" t="inlineStr">
        <is>
          <t>23.10.2026</t>
        </is>
      </c>
      <c r="C51" s="4" t="inlineStr">
        <is>
          <t>11:26:14</t>
        </is>
      </c>
      <c r="D51" s="4" t="n">
        <v>311</v>
      </c>
      <c r="E51" s="4" t="inlineStr">
        <is>
          <t>3001</t>
        </is>
      </c>
      <c r="F51" s="4" t="inlineStr">
        <is>
          <t>1003</t>
        </is>
      </c>
      <c r="G51" s="4" t="inlineStr">
        <is>
          <t>3003</t>
        </is>
      </c>
      <c r="H51" s="23" t="n">
        <v>100</v>
      </c>
      <c r="I51" s="23">
        <f>IF(D51=312, -H51, H51)</f>
        <v/>
      </c>
      <c r="J51" s="4" t="inlineStr">
        <is>
          <t>11:00-12:00</t>
        </is>
      </c>
    </row>
    <row r="52">
      <c r="A52" s="4" t="inlineStr">
        <is>
          <t>BIW30002044</t>
        </is>
      </c>
      <c r="B52" s="4" t="inlineStr">
        <is>
          <t>23.10.2026</t>
        </is>
      </c>
      <c r="C52" s="4" t="inlineStr">
        <is>
          <t>06:37:25</t>
        </is>
      </c>
      <c r="D52" s="4" t="n">
        <v>311</v>
      </c>
      <c r="E52" s="4" t="inlineStr">
        <is>
          <t>3001</t>
        </is>
      </c>
      <c r="F52" s="4" t="inlineStr">
        <is>
          <t>1003</t>
        </is>
      </c>
      <c r="G52" s="4" t="inlineStr">
        <is>
          <t>3003</t>
        </is>
      </c>
      <c r="H52" s="23" t="n">
        <v>60</v>
      </c>
      <c r="I52" s="23">
        <f>IF(D52=312, -H52, H52)</f>
        <v/>
      </c>
      <c r="J52" s="4" t="inlineStr">
        <is>
          <t>06:00-07:00</t>
        </is>
      </c>
    </row>
    <row r="53">
      <c r="A53" s="4" t="inlineStr">
        <is>
          <t>BIW30002044</t>
        </is>
      </c>
      <c r="B53" s="4" t="inlineStr">
        <is>
          <t>23.10.2026</t>
        </is>
      </c>
      <c r="C53" s="4" t="inlineStr">
        <is>
          <t>07:22:52</t>
        </is>
      </c>
      <c r="D53" s="4" t="n">
        <v>311</v>
      </c>
      <c r="E53" s="4" t="inlineStr">
        <is>
          <t>3001</t>
        </is>
      </c>
      <c r="F53" s="4" t="inlineStr">
        <is>
          <t>1003</t>
        </is>
      </c>
      <c r="G53" s="4" t="inlineStr">
        <is>
          <t>3003</t>
        </is>
      </c>
      <c r="H53" s="23" t="n">
        <v>100</v>
      </c>
      <c r="I53" s="23">
        <f>IF(D53=312, -H53, H53)</f>
        <v/>
      </c>
      <c r="J53" s="4" t="inlineStr">
        <is>
          <t>07:00-08:00</t>
        </is>
      </c>
    </row>
    <row r="54">
      <c r="A54" s="4" t="inlineStr">
        <is>
          <t>BIW30002044</t>
        </is>
      </c>
      <c r="B54" s="4" t="inlineStr">
        <is>
          <t>23.10.2026</t>
        </is>
      </c>
      <c r="C54" s="4" t="inlineStr">
        <is>
          <t>08:36:23</t>
        </is>
      </c>
      <c r="D54" s="4" t="n">
        <v>311</v>
      </c>
      <c r="E54" s="4" t="inlineStr">
        <is>
          <t>3001</t>
        </is>
      </c>
      <c r="F54" s="4" t="inlineStr">
        <is>
          <t>1003</t>
        </is>
      </c>
      <c r="G54" s="4" t="inlineStr">
        <is>
          <t>3003</t>
        </is>
      </c>
      <c r="H54" s="23" t="n">
        <v>60</v>
      </c>
      <c r="I54" s="23">
        <f>IF(D54=312, -H54, H54)</f>
        <v/>
      </c>
      <c r="J54" s="4" t="inlineStr">
        <is>
          <t>08:00-09:00</t>
        </is>
      </c>
    </row>
    <row r="55">
      <c r="A55" s="4" t="inlineStr">
        <is>
          <t>BIW30002044</t>
        </is>
      </c>
      <c r="B55" s="4" t="inlineStr">
        <is>
          <t>23.10.2026</t>
        </is>
      </c>
      <c r="C55" s="4" t="inlineStr">
        <is>
          <t>10:39:18</t>
        </is>
      </c>
      <c r="D55" s="4" t="n">
        <v>311</v>
      </c>
      <c r="E55" s="4" t="inlineStr">
        <is>
          <t>3001</t>
        </is>
      </c>
      <c r="F55" s="4" t="inlineStr">
        <is>
          <t>1003</t>
        </is>
      </c>
      <c r="G55" s="4" t="inlineStr">
        <is>
          <t>3003</t>
        </is>
      </c>
      <c r="H55" s="23" t="n">
        <v>100</v>
      </c>
      <c r="I55" s="23">
        <f>IF(D55=312, -H55, H55)</f>
        <v/>
      </c>
      <c r="J55" s="4" t="inlineStr">
        <is>
          <t>10:00-11:00</t>
        </is>
      </c>
    </row>
    <row r="56">
      <c r="A56" s="4" t="inlineStr">
        <is>
          <t>BIW30002044</t>
        </is>
      </c>
      <c r="B56" s="4" t="inlineStr">
        <is>
          <t>23.10.2026</t>
        </is>
      </c>
      <c r="C56" s="4" t="inlineStr">
        <is>
          <t>11:41:46</t>
        </is>
      </c>
      <c r="D56" s="4" t="n">
        <v>311</v>
      </c>
      <c r="E56" s="4" t="inlineStr">
        <is>
          <t>3001</t>
        </is>
      </c>
      <c r="F56" s="4" t="inlineStr">
        <is>
          <t>1003</t>
        </is>
      </c>
      <c r="G56" s="4" t="inlineStr">
        <is>
          <t>3003</t>
        </is>
      </c>
      <c r="H56" s="23" t="n">
        <v>45</v>
      </c>
      <c r="I56" s="23">
        <f>IF(D56=312, -H56, H56)</f>
        <v/>
      </c>
      <c r="J56" s="4" t="inlineStr">
        <is>
          <t>11:00-12:00</t>
        </is>
      </c>
    </row>
    <row r="57">
      <c r="A57" s="4" t="inlineStr">
        <is>
          <t>BIW30002048</t>
        </is>
      </c>
      <c r="B57" s="4" t="inlineStr">
        <is>
          <t>23.10.2026</t>
        </is>
      </c>
      <c r="C57" s="4" t="inlineStr">
        <is>
          <t>06:35:25</t>
        </is>
      </c>
      <c r="D57" s="4" t="n">
        <v>311</v>
      </c>
      <c r="E57" s="4" t="inlineStr">
        <is>
          <t>3001</t>
        </is>
      </c>
      <c r="F57" s="4" t="inlineStr">
        <is>
          <t>1003</t>
        </is>
      </c>
      <c r="G57" s="4" t="inlineStr">
        <is>
          <t>3003</t>
        </is>
      </c>
      <c r="H57" s="23" t="n">
        <v>30</v>
      </c>
      <c r="I57" s="23">
        <f>IF(D57=312, -H57, H57)</f>
        <v/>
      </c>
      <c r="J57" s="4" t="inlineStr">
        <is>
          <t>06:00-07:00</t>
        </is>
      </c>
    </row>
    <row r="58">
      <c r="A58" s="4" t="inlineStr">
        <is>
          <t>BIW30002048</t>
        </is>
      </c>
      <c r="B58" s="4" t="inlineStr">
        <is>
          <t>23.10.2026</t>
        </is>
      </c>
      <c r="C58" s="4" t="inlineStr">
        <is>
          <t>07:35:36</t>
        </is>
      </c>
      <c r="D58" s="4" t="n">
        <v>311</v>
      </c>
      <c r="E58" s="4" t="inlineStr">
        <is>
          <t>3001</t>
        </is>
      </c>
      <c r="F58" s="4" t="inlineStr">
        <is>
          <t>1003</t>
        </is>
      </c>
      <c r="G58" s="4" t="inlineStr">
        <is>
          <t>3003</t>
        </is>
      </c>
      <c r="H58" s="23" t="n">
        <v>30</v>
      </c>
      <c r="I58" s="23">
        <f>IF(D58=312, -H58, H58)</f>
        <v/>
      </c>
      <c r="J58" s="4" t="inlineStr">
        <is>
          <t>07:00-08:00</t>
        </is>
      </c>
    </row>
    <row r="59">
      <c r="A59" s="4" t="inlineStr">
        <is>
          <t>BIW30002048</t>
        </is>
      </c>
      <c r="B59" s="4" t="inlineStr">
        <is>
          <t>23.10.2026</t>
        </is>
      </c>
      <c r="C59" s="4" t="inlineStr">
        <is>
          <t>08:17:16</t>
        </is>
      </c>
      <c r="D59" s="4" t="n">
        <v>311</v>
      </c>
      <c r="E59" s="4" t="inlineStr">
        <is>
          <t>3001</t>
        </is>
      </c>
      <c r="F59" s="4" t="inlineStr">
        <is>
          <t>1003</t>
        </is>
      </c>
      <c r="G59" s="4" t="inlineStr">
        <is>
          <t>3003</t>
        </is>
      </c>
      <c r="H59" s="23" t="n">
        <v>45</v>
      </c>
      <c r="I59" s="23">
        <f>IF(D59=312, -H59, H59)</f>
        <v/>
      </c>
      <c r="J59" s="4" t="inlineStr">
        <is>
          <t>08:00-09:00</t>
        </is>
      </c>
    </row>
    <row r="60">
      <c r="A60" s="4" t="inlineStr">
        <is>
          <t>BIW30002048</t>
        </is>
      </c>
      <c r="B60" s="4" t="inlineStr">
        <is>
          <t>23.10.2026</t>
        </is>
      </c>
      <c r="C60" s="4" t="inlineStr">
        <is>
          <t>10:11:52</t>
        </is>
      </c>
      <c r="D60" s="4" t="n">
        <v>311</v>
      </c>
      <c r="E60" s="4" t="inlineStr">
        <is>
          <t>3001</t>
        </is>
      </c>
      <c r="F60" s="4" t="inlineStr">
        <is>
          <t>1003</t>
        </is>
      </c>
      <c r="G60" s="4" t="inlineStr">
        <is>
          <t>3003</t>
        </is>
      </c>
      <c r="H60" s="23" t="n">
        <v>60</v>
      </c>
      <c r="I60" s="23">
        <f>IF(D60=312, -H60, H60)</f>
        <v/>
      </c>
      <c r="J60" s="4" t="inlineStr">
        <is>
          <t>10:00-11:00</t>
        </is>
      </c>
    </row>
    <row r="61">
      <c r="A61" s="4" t="inlineStr">
        <is>
          <t>BIW30002048</t>
        </is>
      </c>
      <c r="B61" s="4" t="inlineStr">
        <is>
          <t>23.10.2026</t>
        </is>
      </c>
      <c r="C61" s="4" t="inlineStr">
        <is>
          <t>11:32:32</t>
        </is>
      </c>
      <c r="D61" s="4" t="n">
        <v>311</v>
      </c>
      <c r="E61" s="4" t="inlineStr">
        <is>
          <t>3001</t>
        </is>
      </c>
      <c r="F61" s="4" t="inlineStr">
        <is>
          <t>1003</t>
        </is>
      </c>
      <c r="G61" s="4" t="inlineStr">
        <is>
          <t>3003</t>
        </is>
      </c>
      <c r="H61" s="23" t="n">
        <v>30</v>
      </c>
      <c r="I61" s="23">
        <f>IF(D61=312, -H61, H61)</f>
        <v/>
      </c>
      <c r="J61" s="4" t="inlineStr">
        <is>
          <t>11:00-12:00</t>
        </is>
      </c>
    </row>
    <row r="62">
      <c r="A62" s="4" t="inlineStr">
        <is>
          <t>BIW30002049</t>
        </is>
      </c>
      <c r="B62" s="4" t="inlineStr">
        <is>
          <t>23.10.2026</t>
        </is>
      </c>
      <c r="C62" s="4" t="inlineStr">
        <is>
          <t>06:32:36</t>
        </is>
      </c>
      <c r="D62" s="4" t="n">
        <v>311</v>
      </c>
      <c r="E62" s="4" t="inlineStr">
        <is>
          <t>3001</t>
        </is>
      </c>
      <c r="F62" s="4" t="inlineStr">
        <is>
          <t>1003</t>
        </is>
      </c>
      <c r="G62" s="4" t="inlineStr">
        <is>
          <t>3003</t>
        </is>
      </c>
      <c r="H62" s="23" t="n">
        <v>45</v>
      </c>
      <c r="I62" s="23">
        <f>IF(D62=312, -H62, H62)</f>
        <v/>
      </c>
      <c r="J62" s="4" t="inlineStr">
        <is>
          <t>06:00-07:00</t>
        </is>
      </c>
    </row>
    <row r="63">
      <c r="A63" s="4" t="inlineStr">
        <is>
          <t>BIW30002049</t>
        </is>
      </c>
      <c r="B63" s="4" t="inlineStr">
        <is>
          <t>23.10.2026</t>
        </is>
      </c>
      <c r="C63" s="4" t="inlineStr">
        <is>
          <t>07:34:56</t>
        </is>
      </c>
      <c r="D63" s="4" t="n">
        <v>311</v>
      </c>
      <c r="E63" s="4" t="inlineStr">
        <is>
          <t>3001</t>
        </is>
      </c>
      <c r="F63" s="4" t="inlineStr">
        <is>
          <t>1003</t>
        </is>
      </c>
      <c r="G63" s="4" t="inlineStr">
        <is>
          <t>3003</t>
        </is>
      </c>
      <c r="H63" s="23" t="n">
        <v>30</v>
      </c>
      <c r="I63" s="23">
        <f>IF(D63=312, -H63, H63)</f>
        <v/>
      </c>
      <c r="J63" s="4" t="inlineStr">
        <is>
          <t>07:00-08:00</t>
        </is>
      </c>
    </row>
    <row r="64">
      <c r="A64" s="4" t="inlineStr">
        <is>
          <t>BIW30002049</t>
        </is>
      </c>
      <c r="B64" s="4" t="inlineStr">
        <is>
          <t>23.10.2026</t>
        </is>
      </c>
      <c r="C64" s="4" t="inlineStr">
        <is>
          <t>08:08:53</t>
        </is>
      </c>
      <c r="D64" s="4" t="n">
        <v>311</v>
      </c>
      <c r="E64" s="4" t="inlineStr">
        <is>
          <t>3001</t>
        </is>
      </c>
      <c r="F64" s="4" t="inlineStr">
        <is>
          <t>1003</t>
        </is>
      </c>
      <c r="G64" s="4" t="inlineStr">
        <is>
          <t>3003</t>
        </is>
      </c>
      <c r="H64" s="23" t="n">
        <v>80</v>
      </c>
      <c r="I64" s="23">
        <f>IF(D64=312, -H64, H64)</f>
        <v/>
      </c>
      <c r="J64" s="4" t="inlineStr">
        <is>
          <t>08:00-09:00</t>
        </is>
      </c>
    </row>
    <row r="65">
      <c r="A65" s="4" t="inlineStr">
        <is>
          <t>BIW30002049</t>
        </is>
      </c>
      <c r="B65" s="4" t="inlineStr">
        <is>
          <t>23.10.2026</t>
        </is>
      </c>
      <c r="C65" s="4" t="inlineStr">
        <is>
          <t>10:46:51</t>
        </is>
      </c>
      <c r="D65" s="4" t="n">
        <v>311</v>
      </c>
      <c r="E65" s="4" t="inlineStr">
        <is>
          <t>3001</t>
        </is>
      </c>
      <c r="F65" s="4" t="inlineStr">
        <is>
          <t>1003</t>
        </is>
      </c>
      <c r="G65" s="4" t="inlineStr">
        <is>
          <t>3003</t>
        </is>
      </c>
      <c r="H65" s="23" t="n">
        <v>60</v>
      </c>
      <c r="I65" s="23">
        <f>IF(D65=312, -H65, H65)</f>
        <v/>
      </c>
      <c r="J65" s="4" t="inlineStr">
        <is>
          <t>10:00-11:00</t>
        </is>
      </c>
    </row>
    <row r="66">
      <c r="A66" s="4" t="inlineStr">
        <is>
          <t>BIW30002049</t>
        </is>
      </c>
      <c r="B66" s="4" t="inlineStr">
        <is>
          <t>23.10.2026</t>
        </is>
      </c>
      <c r="C66" s="4" t="inlineStr">
        <is>
          <t>11:11:13</t>
        </is>
      </c>
      <c r="D66" s="4" t="n">
        <v>311</v>
      </c>
      <c r="E66" s="4" t="inlineStr">
        <is>
          <t>3001</t>
        </is>
      </c>
      <c r="F66" s="4" t="inlineStr">
        <is>
          <t>1003</t>
        </is>
      </c>
      <c r="G66" s="4" t="inlineStr">
        <is>
          <t>3003</t>
        </is>
      </c>
      <c r="H66" s="23" t="n">
        <v>80</v>
      </c>
      <c r="I66" s="23">
        <f>IF(D66=312, -H66, H66)</f>
        <v/>
      </c>
      <c r="J66" s="4" t="inlineStr">
        <is>
          <t>11:00-12:00</t>
        </is>
      </c>
    </row>
    <row r="67">
      <c r="A67" s="4" t="inlineStr">
        <is>
          <t>BIW30002057</t>
        </is>
      </c>
      <c r="B67" s="4" t="inlineStr">
        <is>
          <t>23.10.2026</t>
        </is>
      </c>
      <c r="C67" s="4" t="inlineStr">
        <is>
          <t>06:30:56</t>
        </is>
      </c>
      <c r="D67" s="4" t="n">
        <v>311</v>
      </c>
      <c r="E67" s="4" t="inlineStr">
        <is>
          <t>3001</t>
        </is>
      </c>
      <c r="F67" s="4" t="inlineStr">
        <is>
          <t>1003</t>
        </is>
      </c>
      <c r="G67" s="4" t="inlineStr">
        <is>
          <t>3003</t>
        </is>
      </c>
      <c r="H67" s="23" t="n">
        <v>60</v>
      </c>
      <c r="I67" s="23">
        <f>IF(D67=312, -H67, H67)</f>
        <v/>
      </c>
      <c r="J67" s="4" t="inlineStr">
        <is>
          <t>06:00-07:00</t>
        </is>
      </c>
    </row>
    <row r="68">
      <c r="A68" s="4" t="inlineStr">
        <is>
          <t>BIW30002057</t>
        </is>
      </c>
      <c r="B68" s="4" t="inlineStr">
        <is>
          <t>23.10.2026</t>
        </is>
      </c>
      <c r="C68" s="4" t="inlineStr">
        <is>
          <t>07:26:16</t>
        </is>
      </c>
      <c r="D68" s="4" t="n">
        <v>311</v>
      </c>
      <c r="E68" s="4" t="inlineStr">
        <is>
          <t>3001</t>
        </is>
      </c>
      <c r="F68" s="4" t="inlineStr">
        <is>
          <t>1003</t>
        </is>
      </c>
      <c r="G68" s="4" t="inlineStr">
        <is>
          <t>3003</t>
        </is>
      </c>
      <c r="H68" s="23" t="n">
        <v>45</v>
      </c>
      <c r="I68" s="23">
        <f>IF(D68=312, -H68, H68)</f>
        <v/>
      </c>
      <c r="J68" s="4" t="inlineStr">
        <is>
          <t>07:00-08:00</t>
        </is>
      </c>
    </row>
    <row r="69">
      <c r="A69" s="4" t="inlineStr">
        <is>
          <t>BIW30002057</t>
        </is>
      </c>
      <c r="B69" s="4" t="inlineStr">
        <is>
          <t>23.10.2026</t>
        </is>
      </c>
      <c r="C69" s="4" t="inlineStr">
        <is>
          <t>08:20:22</t>
        </is>
      </c>
      <c r="D69" s="4" t="n">
        <v>311</v>
      </c>
      <c r="E69" s="4" t="inlineStr">
        <is>
          <t>3001</t>
        </is>
      </c>
      <c r="F69" s="4" t="inlineStr">
        <is>
          <t>1003</t>
        </is>
      </c>
      <c r="G69" s="4" t="inlineStr">
        <is>
          <t>3003</t>
        </is>
      </c>
      <c r="H69" s="23" t="n">
        <v>60</v>
      </c>
      <c r="I69" s="23">
        <f>IF(D69=312, -H69, H69)</f>
        <v/>
      </c>
      <c r="J69" s="4" t="inlineStr">
        <is>
          <t>08:00-09:00</t>
        </is>
      </c>
    </row>
    <row r="70">
      <c r="A70" s="4" t="inlineStr">
        <is>
          <t>BIW30002057</t>
        </is>
      </c>
      <c r="B70" s="4" t="inlineStr">
        <is>
          <t>23.10.2026</t>
        </is>
      </c>
      <c r="C70" s="4" t="inlineStr">
        <is>
          <t>10:17:44</t>
        </is>
      </c>
      <c r="D70" s="4" t="n">
        <v>311</v>
      </c>
      <c r="E70" s="4" t="inlineStr">
        <is>
          <t>3001</t>
        </is>
      </c>
      <c r="F70" s="4" t="inlineStr">
        <is>
          <t>1003</t>
        </is>
      </c>
      <c r="G70" s="4" t="inlineStr">
        <is>
          <t>3003</t>
        </is>
      </c>
      <c r="H70" s="23" t="n">
        <v>60</v>
      </c>
      <c r="I70" s="23">
        <f>IF(D70=312, -H70, H70)</f>
        <v/>
      </c>
      <c r="J70" s="4" t="inlineStr">
        <is>
          <t>10:00-11:00</t>
        </is>
      </c>
    </row>
    <row r="71">
      <c r="A71" s="4" t="inlineStr">
        <is>
          <t>BIW30002057</t>
        </is>
      </c>
      <c r="B71" s="4" t="inlineStr">
        <is>
          <t>23.10.2026</t>
        </is>
      </c>
      <c r="C71" s="4" t="inlineStr">
        <is>
          <t>11:33:18</t>
        </is>
      </c>
      <c r="D71" s="4" t="n">
        <v>311</v>
      </c>
      <c r="E71" s="4" t="inlineStr">
        <is>
          <t>3001</t>
        </is>
      </c>
      <c r="F71" s="4" t="inlineStr">
        <is>
          <t>1003</t>
        </is>
      </c>
      <c r="G71" s="4" t="inlineStr">
        <is>
          <t>3003</t>
        </is>
      </c>
      <c r="H71" s="23" t="n">
        <v>45</v>
      </c>
      <c r="I71" s="23">
        <f>IF(D71=312, -H71, H71)</f>
        <v/>
      </c>
      <c r="J71" s="4" t="inlineStr">
        <is>
          <t>11:00-12:00</t>
        </is>
      </c>
    </row>
    <row r="72">
      <c r="A72" s="4" t="inlineStr">
        <is>
          <t>BIW30002062</t>
        </is>
      </c>
      <c r="B72" s="4" t="inlineStr">
        <is>
          <t>23.10.2026</t>
        </is>
      </c>
      <c r="C72" s="4" t="inlineStr">
        <is>
          <t>06:32:21</t>
        </is>
      </c>
      <c r="D72" s="4" t="n">
        <v>311</v>
      </c>
      <c r="E72" s="4" t="inlineStr">
        <is>
          <t>3001</t>
        </is>
      </c>
      <c r="F72" s="4" t="inlineStr">
        <is>
          <t>1003</t>
        </is>
      </c>
      <c r="G72" s="4" t="inlineStr">
        <is>
          <t>3003</t>
        </is>
      </c>
      <c r="H72" s="23" t="n">
        <v>60</v>
      </c>
      <c r="I72" s="23">
        <f>IF(D72=312, -H72, H72)</f>
        <v/>
      </c>
      <c r="J72" s="4" t="inlineStr">
        <is>
          <t>06:00-07:00</t>
        </is>
      </c>
    </row>
    <row r="73">
      <c r="A73" s="4" t="inlineStr">
        <is>
          <t>BIW30002062</t>
        </is>
      </c>
      <c r="B73" s="4" t="inlineStr">
        <is>
          <t>23.10.2026</t>
        </is>
      </c>
      <c r="C73" s="4" t="inlineStr">
        <is>
          <t>07:22:39</t>
        </is>
      </c>
      <c r="D73" s="4" t="n">
        <v>311</v>
      </c>
      <c r="E73" s="4" t="inlineStr">
        <is>
          <t>3001</t>
        </is>
      </c>
      <c r="F73" s="4" t="inlineStr">
        <is>
          <t>1003</t>
        </is>
      </c>
      <c r="G73" s="4" t="inlineStr">
        <is>
          <t>3003</t>
        </is>
      </c>
      <c r="H73" s="23" t="n">
        <v>30</v>
      </c>
      <c r="I73" s="23">
        <f>IF(D73=312, -H73, H73)</f>
        <v/>
      </c>
      <c r="J73" s="4" t="inlineStr">
        <is>
          <t>07:00-08:00</t>
        </is>
      </c>
    </row>
    <row r="74">
      <c r="A74" s="4" t="inlineStr">
        <is>
          <t>BIW30002062</t>
        </is>
      </c>
      <c r="B74" s="4" t="inlineStr">
        <is>
          <t>23.10.2026</t>
        </is>
      </c>
      <c r="C74" s="4" t="inlineStr">
        <is>
          <t>08:20:14</t>
        </is>
      </c>
      <c r="D74" s="4" t="n">
        <v>311</v>
      </c>
      <c r="E74" s="4" t="inlineStr">
        <is>
          <t>3001</t>
        </is>
      </c>
      <c r="F74" s="4" t="inlineStr">
        <is>
          <t>1003</t>
        </is>
      </c>
      <c r="G74" s="4" t="inlineStr">
        <is>
          <t>3003</t>
        </is>
      </c>
      <c r="H74" s="23" t="n">
        <v>100</v>
      </c>
      <c r="I74" s="23">
        <f>IF(D74=312, -H74, H74)</f>
        <v/>
      </c>
      <c r="J74" s="4" t="inlineStr">
        <is>
          <t>08:00-09:00</t>
        </is>
      </c>
    </row>
    <row r="75">
      <c r="A75" s="4" t="inlineStr">
        <is>
          <t>BIW30002062</t>
        </is>
      </c>
      <c r="B75" s="4" t="inlineStr">
        <is>
          <t>23.10.2026</t>
        </is>
      </c>
      <c r="C75" s="4" t="inlineStr">
        <is>
          <t>10:33:45</t>
        </is>
      </c>
      <c r="D75" s="4" t="n">
        <v>311</v>
      </c>
      <c r="E75" s="4" t="inlineStr">
        <is>
          <t>3001</t>
        </is>
      </c>
      <c r="F75" s="4" t="inlineStr">
        <is>
          <t>1003</t>
        </is>
      </c>
      <c r="G75" s="4" t="inlineStr">
        <is>
          <t>3003</t>
        </is>
      </c>
      <c r="H75" s="23" t="n">
        <v>45</v>
      </c>
      <c r="I75" s="23">
        <f>IF(D75=312, -H75, H75)</f>
        <v/>
      </c>
      <c r="J75" s="4" t="inlineStr">
        <is>
          <t>10:00-11:00</t>
        </is>
      </c>
    </row>
    <row r="76">
      <c r="A76" s="4" t="inlineStr">
        <is>
          <t>BIW30002062</t>
        </is>
      </c>
      <c r="B76" s="4" t="inlineStr">
        <is>
          <t>23.10.2026</t>
        </is>
      </c>
      <c r="C76" s="4" t="inlineStr">
        <is>
          <t>11:11:13</t>
        </is>
      </c>
      <c r="D76" s="4" t="n">
        <v>311</v>
      </c>
      <c r="E76" s="4" t="inlineStr">
        <is>
          <t>3001</t>
        </is>
      </c>
      <c r="F76" s="4" t="inlineStr">
        <is>
          <t>1003</t>
        </is>
      </c>
      <c r="G76" s="4" t="inlineStr">
        <is>
          <t>3003</t>
        </is>
      </c>
      <c r="H76" s="23" t="n">
        <v>100</v>
      </c>
      <c r="I76" s="23">
        <f>IF(D76=312, -H76, H76)</f>
        <v/>
      </c>
      <c r="J76" s="4" t="inlineStr">
        <is>
          <t>11:00-12:00</t>
        </is>
      </c>
    </row>
    <row r="77">
      <c r="A77" s="4" t="inlineStr">
        <is>
          <t>BIW30002064</t>
        </is>
      </c>
      <c r="B77" s="4" t="inlineStr">
        <is>
          <t>23.10.2026</t>
        </is>
      </c>
      <c r="C77" s="4" t="inlineStr">
        <is>
          <t>06:46:44</t>
        </is>
      </c>
      <c r="D77" s="4" t="n">
        <v>311</v>
      </c>
      <c r="E77" s="4" t="inlineStr">
        <is>
          <t>3001</t>
        </is>
      </c>
      <c r="F77" s="4" t="inlineStr">
        <is>
          <t>1003</t>
        </is>
      </c>
      <c r="G77" s="4" t="inlineStr">
        <is>
          <t>3003</t>
        </is>
      </c>
      <c r="H77" s="23" t="n">
        <v>45</v>
      </c>
      <c r="I77" s="23">
        <f>IF(D77=312, -H77, H77)</f>
        <v/>
      </c>
      <c r="J77" s="4" t="inlineStr">
        <is>
          <t>06:00-07:00</t>
        </is>
      </c>
    </row>
    <row r="78">
      <c r="A78" s="4" t="inlineStr">
        <is>
          <t>BIW30002064</t>
        </is>
      </c>
      <c r="B78" s="4" t="inlineStr">
        <is>
          <t>23.10.2026</t>
        </is>
      </c>
      <c r="C78" s="4" t="inlineStr">
        <is>
          <t>07:05:15</t>
        </is>
      </c>
      <c r="D78" s="4" t="n">
        <v>311</v>
      </c>
      <c r="E78" s="4" t="inlineStr">
        <is>
          <t>3001</t>
        </is>
      </c>
      <c r="F78" s="4" t="inlineStr">
        <is>
          <t>1003</t>
        </is>
      </c>
      <c r="G78" s="4" t="inlineStr">
        <is>
          <t>3003</t>
        </is>
      </c>
      <c r="H78" s="23" t="n">
        <v>45</v>
      </c>
      <c r="I78" s="23">
        <f>IF(D78=312, -H78, H78)</f>
        <v/>
      </c>
      <c r="J78" s="4" t="inlineStr">
        <is>
          <t>07:00-08:00</t>
        </is>
      </c>
    </row>
    <row r="79">
      <c r="A79" s="4" t="inlineStr">
        <is>
          <t>BIW30002064</t>
        </is>
      </c>
      <c r="B79" s="4" t="inlineStr">
        <is>
          <t>23.10.2026</t>
        </is>
      </c>
      <c r="C79" s="4" t="inlineStr">
        <is>
          <t>08:20:20</t>
        </is>
      </c>
      <c r="D79" s="4" t="n">
        <v>311</v>
      </c>
      <c r="E79" s="4" t="inlineStr">
        <is>
          <t>3001</t>
        </is>
      </c>
      <c r="F79" s="4" t="inlineStr">
        <is>
          <t>1003</t>
        </is>
      </c>
      <c r="G79" s="4" t="inlineStr">
        <is>
          <t>3003</t>
        </is>
      </c>
      <c r="H79" s="23" t="n">
        <v>80</v>
      </c>
      <c r="I79" s="23">
        <f>IF(D79=312, -H79, H79)</f>
        <v/>
      </c>
      <c r="J79" s="4" t="inlineStr">
        <is>
          <t>08:00-09:00</t>
        </is>
      </c>
    </row>
    <row r="80">
      <c r="A80" s="4" t="inlineStr">
        <is>
          <t>BIW30002064</t>
        </is>
      </c>
      <c r="B80" s="4" t="inlineStr">
        <is>
          <t>23.10.2026</t>
        </is>
      </c>
      <c r="C80" s="4" t="inlineStr">
        <is>
          <t>10:31:41</t>
        </is>
      </c>
      <c r="D80" s="4" t="n">
        <v>311</v>
      </c>
      <c r="E80" s="4" t="inlineStr">
        <is>
          <t>3001</t>
        </is>
      </c>
      <c r="F80" s="4" t="inlineStr">
        <is>
          <t>1003</t>
        </is>
      </c>
      <c r="G80" s="4" t="inlineStr">
        <is>
          <t>3003</t>
        </is>
      </c>
      <c r="H80" s="23" t="n">
        <v>80</v>
      </c>
      <c r="I80" s="23">
        <f>IF(D80=312, -H80, H80)</f>
        <v/>
      </c>
      <c r="J80" s="4" t="inlineStr">
        <is>
          <t>10:00-11:00</t>
        </is>
      </c>
    </row>
    <row r="81">
      <c r="A81" s="4" t="inlineStr">
        <is>
          <t>BIW30002064</t>
        </is>
      </c>
      <c r="B81" s="4" t="inlineStr">
        <is>
          <t>23.10.2026</t>
        </is>
      </c>
      <c r="C81" s="4" t="inlineStr">
        <is>
          <t>11:35:23</t>
        </is>
      </c>
      <c r="D81" s="4" t="n">
        <v>311</v>
      </c>
      <c r="E81" s="4" t="inlineStr">
        <is>
          <t>3001</t>
        </is>
      </c>
      <c r="F81" s="4" t="inlineStr">
        <is>
          <t>1003</t>
        </is>
      </c>
      <c r="G81" s="4" t="inlineStr">
        <is>
          <t>3003</t>
        </is>
      </c>
      <c r="H81" s="23" t="n">
        <v>60</v>
      </c>
      <c r="I81" s="23">
        <f>IF(D81=312, -H81, H81)</f>
        <v/>
      </c>
      <c r="J81" s="4" t="inlineStr">
        <is>
          <t>11:00-12:00</t>
        </is>
      </c>
    </row>
    <row r="82">
      <c r="A82" s="4" t="inlineStr">
        <is>
          <t>BIW30002111</t>
        </is>
      </c>
      <c r="B82" s="4" t="inlineStr">
        <is>
          <t>23.10.2026</t>
        </is>
      </c>
      <c r="C82" s="4" t="inlineStr">
        <is>
          <t>06:30:13</t>
        </is>
      </c>
      <c r="D82" s="4" t="n">
        <v>311</v>
      </c>
      <c r="E82" s="4" t="inlineStr">
        <is>
          <t>3001</t>
        </is>
      </c>
      <c r="F82" s="4" t="inlineStr">
        <is>
          <t>1003</t>
        </is>
      </c>
      <c r="G82" s="4" t="inlineStr">
        <is>
          <t>3003</t>
        </is>
      </c>
      <c r="H82" s="23" t="n">
        <v>100</v>
      </c>
      <c r="I82" s="23">
        <f>IF(D82=312, -H82, H82)</f>
        <v/>
      </c>
      <c r="J82" s="4" t="inlineStr">
        <is>
          <t>06:00-07:00</t>
        </is>
      </c>
    </row>
    <row r="83">
      <c r="A83" s="4" t="inlineStr">
        <is>
          <t>BIW30002111</t>
        </is>
      </c>
      <c r="B83" s="4" t="inlineStr">
        <is>
          <t>23.10.2026</t>
        </is>
      </c>
      <c r="C83" s="4" t="inlineStr">
        <is>
          <t>07:15:34</t>
        </is>
      </c>
      <c r="D83" s="4" t="n">
        <v>311</v>
      </c>
      <c r="E83" s="4" t="inlineStr">
        <is>
          <t>3001</t>
        </is>
      </c>
      <c r="F83" s="4" t="inlineStr">
        <is>
          <t>1003</t>
        </is>
      </c>
      <c r="G83" s="4" t="inlineStr">
        <is>
          <t>3003</t>
        </is>
      </c>
      <c r="H83" s="23" t="n">
        <v>45</v>
      </c>
      <c r="I83" s="23">
        <f>IF(D83=312, -H83, H83)</f>
        <v/>
      </c>
      <c r="J83" s="4" t="inlineStr">
        <is>
          <t>07:00-08:00</t>
        </is>
      </c>
    </row>
    <row r="84">
      <c r="A84" s="4" t="inlineStr">
        <is>
          <t>BIW30002111</t>
        </is>
      </c>
      <c r="B84" s="4" t="inlineStr">
        <is>
          <t>23.10.2026</t>
        </is>
      </c>
      <c r="C84" s="4" t="inlineStr">
        <is>
          <t>08:05:34</t>
        </is>
      </c>
      <c r="D84" s="4" t="n">
        <v>311</v>
      </c>
      <c r="E84" s="4" t="inlineStr">
        <is>
          <t>3001</t>
        </is>
      </c>
      <c r="F84" s="4" t="inlineStr">
        <is>
          <t>1003</t>
        </is>
      </c>
      <c r="G84" s="4" t="inlineStr">
        <is>
          <t>3003</t>
        </is>
      </c>
      <c r="H84" s="23" t="n">
        <v>60</v>
      </c>
      <c r="I84" s="23">
        <f>IF(D84=312, -H84, H84)</f>
        <v/>
      </c>
      <c r="J84" s="4" t="inlineStr">
        <is>
          <t>08:00-09:00</t>
        </is>
      </c>
    </row>
    <row r="85">
      <c r="A85" s="4" t="inlineStr">
        <is>
          <t>BIW30002111</t>
        </is>
      </c>
      <c r="B85" s="4" t="inlineStr">
        <is>
          <t>23.10.2026</t>
        </is>
      </c>
      <c r="C85" s="4" t="inlineStr">
        <is>
          <t>10:21:39</t>
        </is>
      </c>
      <c r="D85" s="4" t="n">
        <v>311</v>
      </c>
      <c r="E85" s="4" t="inlineStr">
        <is>
          <t>3001</t>
        </is>
      </c>
      <c r="F85" s="4" t="inlineStr">
        <is>
          <t>1003</t>
        </is>
      </c>
      <c r="G85" s="4" t="inlineStr">
        <is>
          <t>3003</t>
        </is>
      </c>
      <c r="H85" s="23" t="n">
        <v>30</v>
      </c>
      <c r="I85" s="23">
        <f>IF(D85=312, -H85, H85)</f>
        <v/>
      </c>
      <c r="J85" s="4" t="inlineStr">
        <is>
          <t>10:00-11:00</t>
        </is>
      </c>
    </row>
    <row r="86">
      <c r="A86" s="4" t="inlineStr">
        <is>
          <t>BIW30002111</t>
        </is>
      </c>
      <c r="B86" s="4" t="inlineStr">
        <is>
          <t>23.10.2026</t>
        </is>
      </c>
      <c r="C86" s="4" t="inlineStr">
        <is>
          <t>11:23:37</t>
        </is>
      </c>
      <c r="D86" s="4" t="n">
        <v>311</v>
      </c>
      <c r="E86" s="4" t="inlineStr">
        <is>
          <t>3001</t>
        </is>
      </c>
      <c r="F86" s="4" t="inlineStr">
        <is>
          <t>1003</t>
        </is>
      </c>
      <c r="G86" s="4" t="inlineStr">
        <is>
          <t>3003</t>
        </is>
      </c>
      <c r="H86" s="23" t="n">
        <v>45</v>
      </c>
      <c r="I86" s="23">
        <f>IF(D86=312, -H86, H86)</f>
        <v/>
      </c>
      <c r="J86" s="4" t="inlineStr">
        <is>
          <t>11:00-12:00</t>
        </is>
      </c>
    </row>
    <row r="87">
      <c r="A87" s="4" t="inlineStr">
        <is>
          <t>BIW30002112</t>
        </is>
      </c>
      <c r="B87" s="4" t="inlineStr">
        <is>
          <t>23.10.2026</t>
        </is>
      </c>
      <c r="C87" s="4" t="inlineStr">
        <is>
          <t>06:49:56</t>
        </is>
      </c>
      <c r="D87" s="4" t="n">
        <v>311</v>
      </c>
      <c r="E87" s="4" t="inlineStr">
        <is>
          <t>3001</t>
        </is>
      </c>
      <c r="F87" s="4" t="inlineStr">
        <is>
          <t>1003</t>
        </is>
      </c>
      <c r="G87" s="4" t="inlineStr">
        <is>
          <t>3003</t>
        </is>
      </c>
      <c r="H87" s="23" t="n">
        <v>30</v>
      </c>
      <c r="I87" s="23">
        <f>IF(D87=312, -H87, H87)</f>
        <v/>
      </c>
      <c r="J87" s="4" t="inlineStr">
        <is>
          <t>06:00-07:00</t>
        </is>
      </c>
    </row>
    <row r="88">
      <c r="A88" s="4" t="inlineStr">
        <is>
          <t>BIW30002112</t>
        </is>
      </c>
      <c r="B88" s="4" t="inlineStr">
        <is>
          <t>23.10.2026</t>
        </is>
      </c>
      <c r="C88" s="4" t="inlineStr">
        <is>
          <t>07:40:52</t>
        </is>
      </c>
      <c r="D88" s="4" t="n">
        <v>311</v>
      </c>
      <c r="E88" s="4" t="inlineStr">
        <is>
          <t>3001</t>
        </is>
      </c>
      <c r="F88" s="4" t="inlineStr">
        <is>
          <t>1003</t>
        </is>
      </c>
      <c r="G88" s="4" t="inlineStr">
        <is>
          <t>3003</t>
        </is>
      </c>
      <c r="H88" s="23" t="n">
        <v>60</v>
      </c>
      <c r="I88" s="23">
        <f>IF(D88=312, -H88, H88)</f>
        <v/>
      </c>
      <c r="J88" s="4" t="inlineStr">
        <is>
          <t>07:00-08:00</t>
        </is>
      </c>
    </row>
    <row r="89">
      <c r="A89" s="4" t="inlineStr">
        <is>
          <t>BIW30002112</t>
        </is>
      </c>
      <c r="B89" s="4" t="inlineStr">
        <is>
          <t>23.10.2026</t>
        </is>
      </c>
      <c r="C89" s="4" t="inlineStr">
        <is>
          <t>08:50:41</t>
        </is>
      </c>
      <c r="D89" s="4" t="n">
        <v>311</v>
      </c>
      <c r="E89" s="4" t="inlineStr">
        <is>
          <t>3001</t>
        </is>
      </c>
      <c r="F89" s="4" t="inlineStr">
        <is>
          <t>1003</t>
        </is>
      </c>
      <c r="G89" s="4" t="inlineStr">
        <is>
          <t>3003</t>
        </is>
      </c>
      <c r="H89" s="23" t="n">
        <v>80</v>
      </c>
      <c r="I89" s="23">
        <f>IF(D89=312, -H89, H89)</f>
        <v/>
      </c>
      <c r="J89" s="4" t="inlineStr">
        <is>
          <t>08:00-09:00</t>
        </is>
      </c>
    </row>
    <row r="90">
      <c r="A90" s="4" t="inlineStr">
        <is>
          <t>BIW30002112</t>
        </is>
      </c>
      <c r="B90" s="4" t="inlineStr">
        <is>
          <t>23.10.2026</t>
        </is>
      </c>
      <c r="C90" s="4" t="inlineStr">
        <is>
          <t>10:14:22</t>
        </is>
      </c>
      <c r="D90" s="4" t="n">
        <v>311</v>
      </c>
      <c r="E90" s="4" t="inlineStr">
        <is>
          <t>3001</t>
        </is>
      </c>
      <c r="F90" s="4" t="inlineStr">
        <is>
          <t>1003</t>
        </is>
      </c>
      <c r="G90" s="4" t="inlineStr">
        <is>
          <t>3003</t>
        </is>
      </c>
      <c r="H90" s="23" t="n">
        <v>60</v>
      </c>
      <c r="I90" s="23">
        <f>IF(D90=312, -H90, H90)</f>
        <v/>
      </c>
      <c r="J90" s="4" t="inlineStr">
        <is>
          <t>10:00-11:00</t>
        </is>
      </c>
    </row>
    <row r="91">
      <c r="A91" s="4" t="inlineStr">
        <is>
          <t>BIW30002112</t>
        </is>
      </c>
      <c r="B91" s="4" t="inlineStr">
        <is>
          <t>23.10.2026</t>
        </is>
      </c>
      <c r="C91" s="4" t="inlineStr">
        <is>
          <t>11:23:23</t>
        </is>
      </c>
      <c r="D91" s="4" t="n">
        <v>311</v>
      </c>
      <c r="E91" s="4" t="inlineStr">
        <is>
          <t>3001</t>
        </is>
      </c>
      <c r="F91" s="4" t="inlineStr">
        <is>
          <t>1003</t>
        </is>
      </c>
      <c r="G91" s="4" t="inlineStr">
        <is>
          <t>3003</t>
        </is>
      </c>
      <c r="H91" s="23" t="n">
        <v>30</v>
      </c>
      <c r="I91" s="23">
        <f>IF(D91=312, -H91, H91)</f>
        <v/>
      </c>
      <c r="J91" s="4" t="inlineStr">
        <is>
          <t>11:00-12:00</t>
        </is>
      </c>
    </row>
    <row r="92">
      <c r="A92" s="4" t="inlineStr">
        <is>
          <t>BIW30002158</t>
        </is>
      </c>
      <c r="B92" s="4" t="inlineStr">
        <is>
          <t>23.10.2026</t>
        </is>
      </c>
      <c r="C92" s="4" t="inlineStr">
        <is>
          <t>06:08:47</t>
        </is>
      </c>
      <c r="D92" s="4" t="n">
        <v>311</v>
      </c>
      <c r="E92" s="4" t="inlineStr">
        <is>
          <t>3001</t>
        </is>
      </c>
      <c r="F92" s="4" t="inlineStr">
        <is>
          <t>1003</t>
        </is>
      </c>
      <c r="G92" s="4" t="inlineStr">
        <is>
          <t>3003</t>
        </is>
      </c>
      <c r="H92" s="23" t="n">
        <v>45</v>
      </c>
      <c r="I92" s="23">
        <f>IF(D92=312, -H92, H92)</f>
        <v/>
      </c>
      <c r="J92" s="4" t="inlineStr">
        <is>
          <t>06:00-07:00</t>
        </is>
      </c>
    </row>
    <row r="93">
      <c r="A93" s="4" t="inlineStr">
        <is>
          <t>BIW30002158</t>
        </is>
      </c>
      <c r="B93" s="4" t="inlineStr">
        <is>
          <t>23.10.2026</t>
        </is>
      </c>
      <c r="C93" s="4" t="inlineStr">
        <is>
          <t>07:39:13</t>
        </is>
      </c>
      <c r="D93" s="4" t="n">
        <v>311</v>
      </c>
      <c r="E93" s="4" t="inlineStr">
        <is>
          <t>3001</t>
        </is>
      </c>
      <c r="F93" s="4" t="inlineStr">
        <is>
          <t>1003</t>
        </is>
      </c>
      <c r="G93" s="4" t="inlineStr">
        <is>
          <t>3003</t>
        </is>
      </c>
      <c r="H93" s="23" t="n">
        <v>100</v>
      </c>
      <c r="I93" s="23">
        <f>IF(D93=312, -H93, H93)</f>
        <v/>
      </c>
      <c r="J93" s="4" t="inlineStr">
        <is>
          <t>07:00-08:00</t>
        </is>
      </c>
    </row>
    <row r="94">
      <c r="A94" s="4" t="inlineStr">
        <is>
          <t>BIW30002158</t>
        </is>
      </c>
      <c r="B94" s="4" t="inlineStr">
        <is>
          <t>23.10.2026</t>
        </is>
      </c>
      <c r="C94" s="4" t="inlineStr">
        <is>
          <t>08:25:13</t>
        </is>
      </c>
      <c r="D94" s="4" t="n">
        <v>311</v>
      </c>
      <c r="E94" s="4" t="inlineStr">
        <is>
          <t>3001</t>
        </is>
      </c>
      <c r="F94" s="4" t="inlineStr">
        <is>
          <t>1003</t>
        </is>
      </c>
      <c r="G94" s="4" t="inlineStr">
        <is>
          <t>3003</t>
        </is>
      </c>
      <c r="H94" s="23" t="n">
        <v>60</v>
      </c>
      <c r="I94" s="23">
        <f>IF(D94=312, -H94, H94)</f>
        <v/>
      </c>
      <c r="J94" s="4" t="inlineStr">
        <is>
          <t>08:00-09:00</t>
        </is>
      </c>
    </row>
    <row r="95">
      <c r="A95" s="4" t="inlineStr">
        <is>
          <t>BIW30002158</t>
        </is>
      </c>
      <c r="B95" s="4" t="inlineStr">
        <is>
          <t>23.10.2026</t>
        </is>
      </c>
      <c r="C95" s="4" t="inlineStr">
        <is>
          <t>10:08:47</t>
        </is>
      </c>
      <c r="D95" s="4" t="n">
        <v>311</v>
      </c>
      <c r="E95" s="4" t="inlineStr">
        <is>
          <t>3001</t>
        </is>
      </c>
      <c r="F95" s="4" t="inlineStr">
        <is>
          <t>1003</t>
        </is>
      </c>
      <c r="G95" s="4" t="inlineStr">
        <is>
          <t>3003</t>
        </is>
      </c>
      <c r="H95" s="23" t="n">
        <v>45</v>
      </c>
      <c r="I95" s="23">
        <f>IF(D95=312, -H95, H95)</f>
        <v/>
      </c>
      <c r="J95" s="4" t="inlineStr">
        <is>
          <t>10:00-11:00</t>
        </is>
      </c>
    </row>
    <row r="96">
      <c r="A96" s="4" t="inlineStr">
        <is>
          <t>BIW30002158</t>
        </is>
      </c>
      <c r="B96" s="4" t="inlineStr">
        <is>
          <t>23.10.2026</t>
        </is>
      </c>
      <c r="C96" s="4" t="inlineStr">
        <is>
          <t>11:35:42</t>
        </is>
      </c>
      <c r="D96" s="4" t="n">
        <v>311</v>
      </c>
      <c r="E96" s="4" t="inlineStr">
        <is>
          <t>3001</t>
        </is>
      </c>
      <c r="F96" s="4" t="inlineStr">
        <is>
          <t>1003</t>
        </is>
      </c>
      <c r="G96" s="4" t="inlineStr">
        <is>
          <t>3003</t>
        </is>
      </c>
      <c r="H96" s="23" t="n">
        <v>80</v>
      </c>
      <c r="I96" s="23">
        <f>IF(D96=312, -H96, H96)</f>
        <v/>
      </c>
      <c r="J96" s="4" t="inlineStr">
        <is>
          <t>11:00-12:00</t>
        </is>
      </c>
    </row>
    <row r="97">
      <c r="A97" s="4" t="inlineStr">
        <is>
          <t>BIW30003071</t>
        </is>
      </c>
      <c r="B97" s="4" t="inlineStr">
        <is>
          <t>23.10.2026</t>
        </is>
      </c>
      <c r="C97" s="4" t="inlineStr">
        <is>
          <t>06:38:20</t>
        </is>
      </c>
      <c r="D97" s="4" t="n">
        <v>311</v>
      </c>
      <c r="E97" s="4" t="inlineStr">
        <is>
          <t>3001</t>
        </is>
      </c>
      <c r="F97" s="4" t="inlineStr">
        <is>
          <t>1003</t>
        </is>
      </c>
      <c r="G97" s="4" t="inlineStr">
        <is>
          <t>3003</t>
        </is>
      </c>
      <c r="H97" s="23" t="n">
        <v>80</v>
      </c>
      <c r="I97" s="23">
        <f>IF(D97=312, -H97, H97)</f>
        <v/>
      </c>
      <c r="J97" s="4" t="inlineStr">
        <is>
          <t>06:00-07:00</t>
        </is>
      </c>
    </row>
    <row r="98">
      <c r="A98" s="4" t="inlineStr">
        <is>
          <t>BIW30003071</t>
        </is>
      </c>
      <c r="B98" s="4" t="inlineStr">
        <is>
          <t>23.10.2026</t>
        </is>
      </c>
      <c r="C98" s="4" t="inlineStr">
        <is>
          <t>07:08:42</t>
        </is>
      </c>
      <c r="D98" s="4" t="n">
        <v>311</v>
      </c>
      <c r="E98" s="4" t="inlineStr">
        <is>
          <t>3001</t>
        </is>
      </c>
      <c r="F98" s="4" t="inlineStr">
        <is>
          <t>1003</t>
        </is>
      </c>
      <c r="G98" s="4" t="inlineStr">
        <is>
          <t>3003</t>
        </is>
      </c>
      <c r="H98" s="23" t="n">
        <v>80</v>
      </c>
      <c r="I98" s="23">
        <f>IF(D98=312, -H98, H98)</f>
        <v/>
      </c>
      <c r="J98" s="4" t="inlineStr">
        <is>
          <t>07:00-08:00</t>
        </is>
      </c>
    </row>
    <row r="99">
      <c r="A99" s="4" t="inlineStr">
        <is>
          <t>BIW30003071</t>
        </is>
      </c>
      <c r="B99" s="4" t="inlineStr">
        <is>
          <t>23.10.2026</t>
        </is>
      </c>
      <c r="C99" s="4" t="inlineStr">
        <is>
          <t>08:10:21</t>
        </is>
      </c>
      <c r="D99" s="4" t="n">
        <v>311</v>
      </c>
      <c r="E99" s="4" t="inlineStr">
        <is>
          <t>3001</t>
        </is>
      </c>
      <c r="F99" s="4" t="inlineStr">
        <is>
          <t>1003</t>
        </is>
      </c>
      <c r="G99" s="4" t="inlineStr">
        <is>
          <t>3003</t>
        </is>
      </c>
      <c r="H99" s="23" t="n">
        <v>45</v>
      </c>
      <c r="I99" s="23">
        <f>IF(D99=312, -H99, H99)</f>
        <v/>
      </c>
      <c r="J99" s="4" t="inlineStr">
        <is>
          <t>08:00-09:00</t>
        </is>
      </c>
    </row>
    <row r="100">
      <c r="A100" s="4" t="inlineStr">
        <is>
          <t>BIW30003071</t>
        </is>
      </c>
      <c r="B100" s="4" t="inlineStr">
        <is>
          <t>23.10.2026</t>
        </is>
      </c>
      <c r="C100" s="4" t="inlineStr">
        <is>
          <t>10:09:48</t>
        </is>
      </c>
      <c r="D100" s="4" t="n">
        <v>311</v>
      </c>
      <c r="E100" s="4" t="inlineStr">
        <is>
          <t>3001</t>
        </is>
      </c>
      <c r="F100" s="4" t="inlineStr">
        <is>
          <t>1003</t>
        </is>
      </c>
      <c r="G100" s="4" t="inlineStr">
        <is>
          <t>3003</t>
        </is>
      </c>
      <c r="H100" s="23" t="n">
        <v>60</v>
      </c>
      <c r="I100" s="23">
        <f>IF(D100=312, -H100, H100)</f>
        <v/>
      </c>
      <c r="J100" s="4" t="inlineStr">
        <is>
          <t>10:00-11:00</t>
        </is>
      </c>
    </row>
    <row r="101">
      <c r="A101" s="4" t="inlineStr">
        <is>
          <t>BIW30003071</t>
        </is>
      </c>
      <c r="B101" s="4" t="inlineStr">
        <is>
          <t>23.10.2026</t>
        </is>
      </c>
      <c r="C101" s="4" t="inlineStr">
        <is>
          <t>11:09:53</t>
        </is>
      </c>
      <c r="D101" s="4" t="n">
        <v>311</v>
      </c>
      <c r="E101" s="4" t="inlineStr">
        <is>
          <t>3001</t>
        </is>
      </c>
      <c r="F101" s="4" t="inlineStr">
        <is>
          <t>1003</t>
        </is>
      </c>
      <c r="G101" s="4" t="inlineStr">
        <is>
          <t>3003</t>
        </is>
      </c>
      <c r="H101" s="23" t="n">
        <v>45</v>
      </c>
      <c r="I101" s="23">
        <f>IF(D101=312, -H101, H101)</f>
        <v/>
      </c>
      <c r="J101" s="4" t="inlineStr">
        <is>
          <t>11:00-12:00</t>
        </is>
      </c>
    </row>
    <row r="102">
      <c r="A102" s="4" t="inlineStr">
        <is>
          <t>BIW30003072</t>
        </is>
      </c>
      <c r="B102" s="4" t="inlineStr">
        <is>
          <t>23.10.2026</t>
        </is>
      </c>
      <c r="C102" s="4" t="inlineStr">
        <is>
          <t>06:20:35</t>
        </is>
      </c>
      <c r="D102" s="4" t="n">
        <v>311</v>
      </c>
      <c r="E102" s="4" t="inlineStr">
        <is>
          <t>3001</t>
        </is>
      </c>
      <c r="F102" s="4" t="inlineStr">
        <is>
          <t>1003</t>
        </is>
      </c>
      <c r="G102" s="4" t="inlineStr">
        <is>
          <t>3003</t>
        </is>
      </c>
      <c r="H102" s="23" t="n">
        <v>45</v>
      </c>
      <c r="I102" s="23">
        <f>IF(D102=312, -H102, H102)</f>
        <v/>
      </c>
      <c r="J102" s="4" t="inlineStr">
        <is>
          <t>06:00-07:00</t>
        </is>
      </c>
    </row>
    <row r="103">
      <c r="A103" s="4" t="inlineStr">
        <is>
          <t>BIW30003072</t>
        </is>
      </c>
      <c r="B103" s="4" t="inlineStr">
        <is>
          <t>23.10.2026</t>
        </is>
      </c>
      <c r="C103" s="4" t="inlineStr">
        <is>
          <t>07:12:46</t>
        </is>
      </c>
      <c r="D103" s="4" t="n">
        <v>311</v>
      </c>
      <c r="E103" s="4" t="inlineStr">
        <is>
          <t>3001</t>
        </is>
      </c>
      <c r="F103" s="4" t="inlineStr">
        <is>
          <t>1003</t>
        </is>
      </c>
      <c r="G103" s="4" t="inlineStr">
        <is>
          <t>3003</t>
        </is>
      </c>
      <c r="H103" s="23" t="n">
        <v>100</v>
      </c>
      <c r="I103" s="23">
        <f>IF(D103=312, -H103, H103)</f>
        <v/>
      </c>
      <c r="J103" s="4" t="inlineStr">
        <is>
          <t>07:00-08:00</t>
        </is>
      </c>
    </row>
    <row r="104">
      <c r="A104" s="4" t="inlineStr">
        <is>
          <t>BIW30003072</t>
        </is>
      </c>
      <c r="B104" s="4" t="inlineStr">
        <is>
          <t>23.10.2026</t>
        </is>
      </c>
      <c r="C104" s="4" t="inlineStr">
        <is>
          <t>08:20:47</t>
        </is>
      </c>
      <c r="D104" s="4" t="n">
        <v>311</v>
      </c>
      <c r="E104" s="4" t="inlineStr">
        <is>
          <t>3001</t>
        </is>
      </c>
      <c r="F104" s="4" t="inlineStr">
        <is>
          <t>1003</t>
        </is>
      </c>
      <c r="G104" s="4" t="inlineStr">
        <is>
          <t>3003</t>
        </is>
      </c>
      <c r="H104" s="23" t="n">
        <v>100</v>
      </c>
      <c r="I104" s="23">
        <f>IF(D104=312, -H104, H104)</f>
        <v/>
      </c>
      <c r="J104" s="4" t="inlineStr">
        <is>
          <t>08:00-09:00</t>
        </is>
      </c>
    </row>
    <row r="105">
      <c r="A105" s="4" t="inlineStr">
        <is>
          <t>BIW30003072</t>
        </is>
      </c>
      <c r="B105" s="4" t="inlineStr">
        <is>
          <t>23.10.2026</t>
        </is>
      </c>
      <c r="C105" s="4" t="inlineStr">
        <is>
          <t>10:43:12</t>
        </is>
      </c>
      <c r="D105" s="4" t="n">
        <v>311</v>
      </c>
      <c r="E105" s="4" t="inlineStr">
        <is>
          <t>3001</t>
        </is>
      </c>
      <c r="F105" s="4" t="inlineStr">
        <is>
          <t>1003</t>
        </is>
      </c>
      <c r="G105" s="4" t="inlineStr">
        <is>
          <t>3003</t>
        </is>
      </c>
      <c r="H105" s="23" t="n">
        <v>60</v>
      </c>
      <c r="I105" s="23">
        <f>IF(D105=312, -H105, H105)</f>
        <v/>
      </c>
      <c r="J105" s="4" t="inlineStr">
        <is>
          <t>10:00-11:00</t>
        </is>
      </c>
    </row>
    <row r="106">
      <c r="A106" s="4" t="inlineStr">
        <is>
          <t>BIW30003072</t>
        </is>
      </c>
      <c r="B106" s="4" t="inlineStr">
        <is>
          <t>23.10.2026</t>
        </is>
      </c>
      <c r="C106" s="4" t="inlineStr">
        <is>
          <t>11:44:15</t>
        </is>
      </c>
      <c r="D106" s="4" t="n">
        <v>311</v>
      </c>
      <c r="E106" s="4" t="inlineStr">
        <is>
          <t>3001</t>
        </is>
      </c>
      <c r="F106" s="4" t="inlineStr">
        <is>
          <t>1003</t>
        </is>
      </c>
      <c r="G106" s="4" t="inlineStr">
        <is>
          <t>3003</t>
        </is>
      </c>
      <c r="H106" s="23" t="n">
        <v>100</v>
      </c>
      <c r="I106" s="23">
        <f>IF(D106=312, -H106, H106)</f>
        <v/>
      </c>
      <c r="J106" s="4" t="inlineStr">
        <is>
          <t>11:00-12:00</t>
        </is>
      </c>
    </row>
    <row r="107">
      <c r="A107" s="4" t="inlineStr">
        <is>
          <t>BIW30003120</t>
        </is>
      </c>
      <c r="B107" s="4" t="inlineStr">
        <is>
          <t>23.10.2026</t>
        </is>
      </c>
      <c r="C107" s="4" t="inlineStr">
        <is>
          <t>06:31:52</t>
        </is>
      </c>
      <c r="D107" s="4" t="n">
        <v>311</v>
      </c>
      <c r="E107" s="4" t="inlineStr">
        <is>
          <t>3001</t>
        </is>
      </c>
      <c r="F107" s="4" t="inlineStr">
        <is>
          <t>1003</t>
        </is>
      </c>
      <c r="G107" s="4" t="inlineStr">
        <is>
          <t>3003</t>
        </is>
      </c>
      <c r="H107" s="23" t="n">
        <v>80</v>
      </c>
      <c r="I107" s="23">
        <f>IF(D107=312, -H107, H107)</f>
        <v/>
      </c>
      <c r="J107" s="4" t="inlineStr">
        <is>
          <t>06:00-07:00</t>
        </is>
      </c>
    </row>
    <row r="108">
      <c r="A108" s="4" t="inlineStr">
        <is>
          <t>BIW30003120</t>
        </is>
      </c>
      <c r="B108" s="4" t="inlineStr">
        <is>
          <t>23.10.2026</t>
        </is>
      </c>
      <c r="C108" s="4" t="inlineStr">
        <is>
          <t>07:42:46</t>
        </is>
      </c>
      <c r="D108" s="4" t="n">
        <v>311</v>
      </c>
      <c r="E108" s="4" t="inlineStr">
        <is>
          <t>3001</t>
        </is>
      </c>
      <c r="F108" s="4" t="inlineStr">
        <is>
          <t>1003</t>
        </is>
      </c>
      <c r="G108" s="4" t="inlineStr">
        <is>
          <t>3003</t>
        </is>
      </c>
      <c r="H108" s="23" t="n">
        <v>100</v>
      </c>
      <c r="I108" s="23">
        <f>IF(D108=312, -H108, H108)</f>
        <v/>
      </c>
      <c r="J108" s="4" t="inlineStr">
        <is>
          <t>07:00-08:00</t>
        </is>
      </c>
    </row>
    <row r="109">
      <c r="A109" s="4" t="inlineStr">
        <is>
          <t>BIW30003120</t>
        </is>
      </c>
      <c r="B109" s="4" t="inlineStr">
        <is>
          <t>23.10.2026</t>
        </is>
      </c>
      <c r="C109" s="4" t="inlineStr">
        <is>
          <t>08:38:30</t>
        </is>
      </c>
      <c r="D109" s="4" t="n">
        <v>311</v>
      </c>
      <c r="E109" s="4" t="inlineStr">
        <is>
          <t>3001</t>
        </is>
      </c>
      <c r="F109" s="4" t="inlineStr">
        <is>
          <t>1003</t>
        </is>
      </c>
      <c r="G109" s="4" t="inlineStr">
        <is>
          <t>3003</t>
        </is>
      </c>
      <c r="H109" s="23" t="n">
        <v>80</v>
      </c>
      <c r="I109" s="23">
        <f>IF(D109=312, -H109, H109)</f>
        <v/>
      </c>
      <c r="J109" s="4" t="inlineStr">
        <is>
          <t>08:00-09:00</t>
        </is>
      </c>
    </row>
    <row r="110">
      <c r="A110" s="4" t="inlineStr">
        <is>
          <t>BIW30003120</t>
        </is>
      </c>
      <c r="B110" s="4" t="inlineStr">
        <is>
          <t>23.10.2026</t>
        </is>
      </c>
      <c r="C110" s="4" t="inlineStr">
        <is>
          <t>10:21:23</t>
        </is>
      </c>
      <c r="D110" s="4" t="n">
        <v>311</v>
      </c>
      <c r="E110" s="4" t="inlineStr">
        <is>
          <t>3001</t>
        </is>
      </c>
      <c r="F110" s="4" t="inlineStr">
        <is>
          <t>1003</t>
        </is>
      </c>
      <c r="G110" s="4" t="inlineStr">
        <is>
          <t>3003</t>
        </is>
      </c>
      <c r="H110" s="23" t="n">
        <v>60</v>
      </c>
      <c r="I110" s="23">
        <f>IF(D110=312, -H110, H110)</f>
        <v/>
      </c>
      <c r="J110" s="4" t="inlineStr">
        <is>
          <t>10:00-11:00</t>
        </is>
      </c>
    </row>
    <row r="111">
      <c r="A111" s="4" t="inlineStr">
        <is>
          <t>BIW30003120</t>
        </is>
      </c>
      <c r="B111" s="4" t="inlineStr">
        <is>
          <t>23.10.2026</t>
        </is>
      </c>
      <c r="C111" s="4" t="inlineStr">
        <is>
          <t>11:47:55</t>
        </is>
      </c>
      <c r="D111" s="4" t="n">
        <v>311</v>
      </c>
      <c r="E111" s="4" t="inlineStr">
        <is>
          <t>3001</t>
        </is>
      </c>
      <c r="F111" s="4" t="inlineStr">
        <is>
          <t>1003</t>
        </is>
      </c>
      <c r="G111" s="4" t="inlineStr">
        <is>
          <t>3003</t>
        </is>
      </c>
      <c r="H111" s="23" t="n">
        <v>45</v>
      </c>
      <c r="I111" s="23">
        <f>IF(D111=312, -H111, H111)</f>
        <v/>
      </c>
      <c r="J111" s="4" t="inlineStr">
        <is>
          <t>11:00-12:00</t>
        </is>
      </c>
    </row>
    <row r="112">
      <c r="A112" s="4" t="inlineStr">
        <is>
          <t>BIW30003121</t>
        </is>
      </c>
      <c r="B112" s="4" t="inlineStr">
        <is>
          <t>23.10.2026</t>
        </is>
      </c>
      <c r="C112" s="4" t="inlineStr">
        <is>
          <t>06:25:25</t>
        </is>
      </c>
      <c r="D112" s="4" t="n">
        <v>311</v>
      </c>
      <c r="E112" s="4" t="inlineStr">
        <is>
          <t>3001</t>
        </is>
      </c>
      <c r="F112" s="4" t="inlineStr">
        <is>
          <t>1003</t>
        </is>
      </c>
      <c r="G112" s="4" t="inlineStr">
        <is>
          <t>3003</t>
        </is>
      </c>
      <c r="H112" s="23" t="n">
        <v>45</v>
      </c>
      <c r="I112" s="23">
        <f>IF(D112=312, -H112, H112)</f>
        <v/>
      </c>
      <c r="J112" s="4" t="inlineStr">
        <is>
          <t>06:00-07:00</t>
        </is>
      </c>
    </row>
    <row r="113">
      <c r="A113" s="4" t="inlineStr">
        <is>
          <t>BIW30003121</t>
        </is>
      </c>
      <c r="B113" s="4" t="inlineStr">
        <is>
          <t>23.10.2026</t>
        </is>
      </c>
      <c r="C113" s="4" t="inlineStr">
        <is>
          <t>07:21:35</t>
        </is>
      </c>
      <c r="D113" s="4" t="n">
        <v>311</v>
      </c>
      <c r="E113" s="4" t="inlineStr">
        <is>
          <t>3001</t>
        </is>
      </c>
      <c r="F113" s="4" t="inlineStr">
        <is>
          <t>1003</t>
        </is>
      </c>
      <c r="G113" s="4" t="inlineStr">
        <is>
          <t>3003</t>
        </is>
      </c>
      <c r="H113" s="23" t="n">
        <v>100</v>
      </c>
      <c r="I113" s="23">
        <f>IF(D113=312, -H113, H113)</f>
        <v/>
      </c>
      <c r="J113" s="4" t="inlineStr">
        <is>
          <t>07:00-08:00</t>
        </is>
      </c>
    </row>
    <row r="114">
      <c r="A114" s="4" t="inlineStr">
        <is>
          <t>BIW30003121</t>
        </is>
      </c>
      <c r="B114" s="4" t="inlineStr">
        <is>
          <t>23.10.2026</t>
        </is>
      </c>
      <c r="C114" s="4" t="inlineStr">
        <is>
          <t>08:13:52</t>
        </is>
      </c>
      <c r="D114" s="4" t="n">
        <v>311</v>
      </c>
      <c r="E114" s="4" t="inlineStr">
        <is>
          <t>3001</t>
        </is>
      </c>
      <c r="F114" s="4" t="inlineStr">
        <is>
          <t>1003</t>
        </is>
      </c>
      <c r="G114" s="4" t="inlineStr">
        <is>
          <t>3003</t>
        </is>
      </c>
      <c r="H114" s="23" t="n">
        <v>80</v>
      </c>
      <c r="I114" s="23">
        <f>IF(D114=312, -H114, H114)</f>
        <v/>
      </c>
      <c r="J114" s="4" t="inlineStr">
        <is>
          <t>08:00-09:00</t>
        </is>
      </c>
    </row>
    <row r="115">
      <c r="A115" s="4" t="inlineStr">
        <is>
          <t>BIW30003121</t>
        </is>
      </c>
      <c r="B115" s="4" t="inlineStr">
        <is>
          <t>23.10.2026</t>
        </is>
      </c>
      <c r="C115" s="4" t="inlineStr">
        <is>
          <t>10:46:29</t>
        </is>
      </c>
      <c r="D115" s="4" t="n">
        <v>311</v>
      </c>
      <c r="E115" s="4" t="inlineStr">
        <is>
          <t>3001</t>
        </is>
      </c>
      <c r="F115" s="4" t="inlineStr">
        <is>
          <t>1003</t>
        </is>
      </c>
      <c r="G115" s="4" t="inlineStr">
        <is>
          <t>3003</t>
        </is>
      </c>
      <c r="H115" s="23" t="n">
        <v>30</v>
      </c>
      <c r="I115" s="23">
        <f>IF(D115=312, -H115, H115)</f>
        <v/>
      </c>
      <c r="J115" s="4" t="inlineStr">
        <is>
          <t>10:00-11:00</t>
        </is>
      </c>
    </row>
    <row r="116">
      <c r="A116" s="4" t="inlineStr">
        <is>
          <t>BIW30003121</t>
        </is>
      </c>
      <c r="B116" s="4" t="inlineStr">
        <is>
          <t>23.10.2026</t>
        </is>
      </c>
      <c r="C116" s="4" t="inlineStr">
        <is>
          <t>11:34:30</t>
        </is>
      </c>
      <c r="D116" s="4" t="n">
        <v>311</v>
      </c>
      <c r="E116" s="4" t="inlineStr">
        <is>
          <t>3001</t>
        </is>
      </c>
      <c r="F116" s="4" t="inlineStr">
        <is>
          <t>1003</t>
        </is>
      </c>
      <c r="G116" s="4" t="inlineStr">
        <is>
          <t>3003</t>
        </is>
      </c>
      <c r="H116" s="23" t="n">
        <v>30</v>
      </c>
      <c r="I116" s="23">
        <f>IF(D116=312, -H116, H116)</f>
        <v/>
      </c>
      <c r="J116" s="4" t="inlineStr">
        <is>
          <t>11:00-12:00</t>
        </is>
      </c>
    </row>
    <row r="117">
      <c r="A117" s="4" t="inlineStr">
        <is>
          <t>BIW30003130</t>
        </is>
      </c>
      <c r="B117" s="4" t="inlineStr">
        <is>
          <t>23.10.2026</t>
        </is>
      </c>
      <c r="C117" s="4" t="inlineStr">
        <is>
          <t>06:09:10</t>
        </is>
      </c>
      <c r="D117" s="4" t="n">
        <v>311</v>
      </c>
      <c r="E117" s="4" t="inlineStr">
        <is>
          <t>3001</t>
        </is>
      </c>
      <c r="F117" s="4" t="inlineStr">
        <is>
          <t>1003</t>
        </is>
      </c>
      <c r="G117" s="4" t="inlineStr">
        <is>
          <t>3003</t>
        </is>
      </c>
      <c r="H117" s="23" t="n">
        <v>30</v>
      </c>
      <c r="I117" s="23">
        <f>IF(D117=312, -H117, H117)</f>
        <v/>
      </c>
      <c r="J117" s="4" t="inlineStr">
        <is>
          <t>06:00-07:00</t>
        </is>
      </c>
    </row>
    <row r="118">
      <c r="A118" s="4" t="inlineStr">
        <is>
          <t>BIW30003130</t>
        </is>
      </c>
      <c r="B118" s="4" t="inlineStr">
        <is>
          <t>23.10.2026</t>
        </is>
      </c>
      <c r="C118" s="4" t="inlineStr">
        <is>
          <t>07:34:49</t>
        </is>
      </c>
      <c r="D118" s="4" t="n">
        <v>311</v>
      </c>
      <c r="E118" s="4" t="inlineStr">
        <is>
          <t>3001</t>
        </is>
      </c>
      <c r="F118" s="4" t="inlineStr">
        <is>
          <t>1003</t>
        </is>
      </c>
      <c r="G118" s="4" t="inlineStr">
        <is>
          <t>3003</t>
        </is>
      </c>
      <c r="H118" s="23" t="n">
        <v>45</v>
      </c>
      <c r="I118" s="23">
        <f>IF(D118=312, -H118, H118)</f>
        <v/>
      </c>
      <c r="J118" s="4" t="inlineStr">
        <is>
          <t>07:00-08:00</t>
        </is>
      </c>
    </row>
    <row r="119">
      <c r="A119" s="4" t="inlineStr">
        <is>
          <t>BIW30003130</t>
        </is>
      </c>
      <c r="B119" s="4" t="inlineStr">
        <is>
          <t>23.10.2026</t>
        </is>
      </c>
      <c r="C119" s="4" t="inlineStr">
        <is>
          <t>08:41:16</t>
        </is>
      </c>
      <c r="D119" s="4" t="n">
        <v>311</v>
      </c>
      <c r="E119" s="4" t="inlineStr">
        <is>
          <t>3001</t>
        </is>
      </c>
      <c r="F119" s="4" t="inlineStr">
        <is>
          <t>1003</t>
        </is>
      </c>
      <c r="G119" s="4" t="inlineStr">
        <is>
          <t>3003</t>
        </is>
      </c>
      <c r="H119" s="23" t="n">
        <v>45</v>
      </c>
      <c r="I119" s="23">
        <f>IF(D119=312, -H119, H119)</f>
        <v/>
      </c>
      <c r="J119" s="4" t="inlineStr">
        <is>
          <t>08:00-09:00</t>
        </is>
      </c>
    </row>
    <row r="120">
      <c r="A120" s="4" t="inlineStr">
        <is>
          <t>BIW30003130</t>
        </is>
      </c>
      <c r="B120" s="4" t="inlineStr">
        <is>
          <t>23.10.2026</t>
        </is>
      </c>
      <c r="C120" s="4" t="inlineStr">
        <is>
          <t>10:09:44</t>
        </is>
      </c>
      <c r="D120" s="4" t="n">
        <v>311</v>
      </c>
      <c r="E120" s="4" t="inlineStr">
        <is>
          <t>3001</t>
        </is>
      </c>
      <c r="F120" s="4" t="inlineStr">
        <is>
          <t>1003</t>
        </is>
      </c>
      <c r="G120" s="4" t="inlineStr">
        <is>
          <t>3003</t>
        </is>
      </c>
      <c r="H120" s="23" t="n">
        <v>80</v>
      </c>
      <c r="I120" s="23">
        <f>IF(D120=312, -H120, H120)</f>
        <v/>
      </c>
      <c r="J120" s="4" t="inlineStr">
        <is>
          <t>10:00-11:00</t>
        </is>
      </c>
    </row>
    <row r="121">
      <c r="A121" s="4" t="inlineStr">
        <is>
          <t>BIW30003130</t>
        </is>
      </c>
      <c r="B121" s="4" t="inlineStr">
        <is>
          <t>23.10.2026</t>
        </is>
      </c>
      <c r="C121" s="4" t="inlineStr">
        <is>
          <t>11:18:42</t>
        </is>
      </c>
      <c r="D121" s="4" t="n">
        <v>311</v>
      </c>
      <c r="E121" s="4" t="inlineStr">
        <is>
          <t>3001</t>
        </is>
      </c>
      <c r="F121" s="4" t="inlineStr">
        <is>
          <t>1003</t>
        </is>
      </c>
      <c r="G121" s="4" t="inlineStr">
        <is>
          <t>3003</t>
        </is>
      </c>
      <c r="H121" s="23" t="n">
        <v>100</v>
      </c>
      <c r="I121" s="23">
        <f>IF(D121=312, -H121, H121)</f>
        <v/>
      </c>
      <c r="J121" s="4" t="inlineStr">
        <is>
          <t>11:00-12:00</t>
        </is>
      </c>
    </row>
    <row r="122">
      <c r="A122" s="4" t="inlineStr">
        <is>
          <t>BIW30003250</t>
        </is>
      </c>
      <c r="B122" s="4" t="inlineStr">
        <is>
          <t>23.10.2026</t>
        </is>
      </c>
      <c r="C122" s="4" t="inlineStr">
        <is>
          <t>06:21:18</t>
        </is>
      </c>
      <c r="D122" s="4" t="n">
        <v>311</v>
      </c>
      <c r="E122" s="4" t="inlineStr">
        <is>
          <t>3001</t>
        </is>
      </c>
      <c r="F122" s="4" t="inlineStr">
        <is>
          <t>1003</t>
        </is>
      </c>
      <c r="G122" s="4" t="inlineStr">
        <is>
          <t>3003</t>
        </is>
      </c>
      <c r="H122" s="23" t="n">
        <v>30</v>
      </c>
      <c r="I122" s="23">
        <f>IF(D122=312, -H122, H122)</f>
        <v/>
      </c>
      <c r="J122" s="4" t="inlineStr">
        <is>
          <t>06:00-07:00</t>
        </is>
      </c>
    </row>
    <row r="123">
      <c r="A123" s="4" t="inlineStr">
        <is>
          <t>BIW30003250</t>
        </is>
      </c>
      <c r="B123" s="4" t="inlineStr">
        <is>
          <t>23.10.2026</t>
        </is>
      </c>
      <c r="C123" s="4" t="inlineStr">
        <is>
          <t>07:27:14</t>
        </is>
      </c>
      <c r="D123" s="4" t="n">
        <v>311</v>
      </c>
      <c r="E123" s="4" t="inlineStr">
        <is>
          <t>3001</t>
        </is>
      </c>
      <c r="F123" s="4" t="inlineStr">
        <is>
          <t>1003</t>
        </is>
      </c>
      <c r="G123" s="4" t="inlineStr">
        <is>
          <t>3003</t>
        </is>
      </c>
      <c r="H123" s="23" t="n">
        <v>80</v>
      </c>
      <c r="I123" s="23">
        <f>IF(D123=312, -H123, H123)</f>
        <v/>
      </c>
      <c r="J123" s="4" t="inlineStr">
        <is>
          <t>07:00-08:00</t>
        </is>
      </c>
    </row>
    <row r="124">
      <c r="A124" s="4" t="inlineStr">
        <is>
          <t>BIW30003250</t>
        </is>
      </c>
      <c r="B124" s="4" t="inlineStr">
        <is>
          <t>23.10.2026</t>
        </is>
      </c>
      <c r="C124" s="4" t="inlineStr">
        <is>
          <t>08:20:33</t>
        </is>
      </c>
      <c r="D124" s="4" t="n">
        <v>311</v>
      </c>
      <c r="E124" s="4" t="inlineStr">
        <is>
          <t>3001</t>
        </is>
      </c>
      <c r="F124" s="4" t="inlineStr">
        <is>
          <t>1003</t>
        </is>
      </c>
      <c r="G124" s="4" t="inlineStr">
        <is>
          <t>3003</t>
        </is>
      </c>
      <c r="H124" s="23" t="n">
        <v>80</v>
      </c>
      <c r="I124" s="23">
        <f>IF(D124=312, -H124, H124)</f>
        <v/>
      </c>
      <c r="J124" s="4" t="inlineStr">
        <is>
          <t>08:00-09:00</t>
        </is>
      </c>
    </row>
    <row r="125">
      <c r="A125" s="4" t="inlineStr">
        <is>
          <t>BIW30003250</t>
        </is>
      </c>
      <c r="B125" s="4" t="inlineStr">
        <is>
          <t>23.10.2026</t>
        </is>
      </c>
      <c r="C125" s="4" t="inlineStr">
        <is>
          <t>10:23:20</t>
        </is>
      </c>
      <c r="D125" s="4" t="n">
        <v>311</v>
      </c>
      <c r="E125" s="4" t="inlineStr">
        <is>
          <t>3001</t>
        </is>
      </c>
      <c r="F125" s="4" t="inlineStr">
        <is>
          <t>1003</t>
        </is>
      </c>
      <c r="G125" s="4" t="inlineStr">
        <is>
          <t>3003</t>
        </is>
      </c>
      <c r="H125" s="23" t="n">
        <v>100</v>
      </c>
      <c r="I125" s="23">
        <f>IF(D125=312, -H125, H125)</f>
        <v/>
      </c>
      <c r="J125" s="4" t="inlineStr">
        <is>
          <t>10:00-11:00</t>
        </is>
      </c>
    </row>
    <row r="126">
      <c r="A126" s="4" t="inlineStr">
        <is>
          <t>BIW30003250</t>
        </is>
      </c>
      <c r="B126" s="4" t="inlineStr">
        <is>
          <t>23.10.2026</t>
        </is>
      </c>
      <c r="C126" s="4" t="inlineStr">
        <is>
          <t>11:33:44</t>
        </is>
      </c>
      <c r="D126" s="4" t="n">
        <v>311</v>
      </c>
      <c r="E126" s="4" t="inlineStr">
        <is>
          <t>3001</t>
        </is>
      </c>
      <c r="F126" s="4" t="inlineStr">
        <is>
          <t>1003</t>
        </is>
      </c>
      <c r="G126" s="4" t="inlineStr">
        <is>
          <t>3003</t>
        </is>
      </c>
      <c r="H126" s="23" t="n">
        <v>80</v>
      </c>
      <c r="I126" s="23">
        <f>IF(D126=312, -H126, H126)</f>
        <v/>
      </c>
      <c r="J126" s="4" t="inlineStr">
        <is>
          <t>11:00-12:00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22" customWidth="1" min="5" max="5"/>
    <col width="29" customWidth="1" min="6" max="6"/>
  </cols>
  <sheetData>
    <row r="1">
      <c r="A1" s="17" t="inlineStr">
        <is>
          <t>GIỜ BẮT ĐẦU</t>
        </is>
      </c>
      <c r="B1" s="17" t="inlineStr">
        <is>
          <t>KHUNG GIỜ</t>
        </is>
      </c>
      <c r="C1" s="17" t="inlineStr">
        <is>
          <t>CA</t>
        </is>
      </c>
      <c r="E1" s="17" t="inlineStr">
        <is>
          <t>THAM SỐ</t>
        </is>
      </c>
      <c r="F1" s="17" t="inlineStr">
        <is>
          <t>GIÁ TRỊ</t>
        </is>
      </c>
    </row>
    <row r="2">
      <c r="A2" s="18" t="inlineStr">
        <is>
          <t>06:00:00</t>
        </is>
      </c>
      <c r="B2" s="18" t="inlineStr">
        <is>
          <t>06:00-07:00</t>
        </is>
      </c>
      <c r="C2" s="18" t="inlineStr">
        <is>
          <t>Ca 1</t>
        </is>
      </c>
      <c r="E2" s="19" t="inlineStr">
        <is>
          <t>Plant</t>
        </is>
      </c>
      <c r="F2" s="18" t="inlineStr">
        <is>
          <t>3001</t>
        </is>
      </c>
    </row>
    <row r="3">
      <c r="A3" s="18" t="inlineStr">
        <is>
          <t>07:00:00</t>
        </is>
      </c>
      <c r="B3" s="18" t="inlineStr">
        <is>
          <t>07:00-08:00</t>
        </is>
      </c>
      <c r="C3" s="18" t="inlineStr">
        <is>
          <t>Ca 1</t>
        </is>
      </c>
      <c r="E3" s="19" t="inlineStr">
        <is>
          <t>Sloc Xuất (Kho cấp)</t>
        </is>
      </c>
      <c r="F3" s="18" t="inlineStr">
        <is>
          <t>1003</t>
        </is>
      </c>
    </row>
    <row r="4">
      <c r="A4" s="18" t="inlineStr">
        <is>
          <t>08:00:00</t>
        </is>
      </c>
      <c r="B4" s="18" t="inlineStr">
        <is>
          <t>08:00-09:00</t>
        </is>
      </c>
      <c r="C4" s="18" t="inlineStr">
        <is>
          <t>Ca 1</t>
        </is>
      </c>
      <c r="E4" s="19" t="inlineStr">
        <is>
          <t>Sloc Nhận (Line)</t>
        </is>
      </c>
      <c r="F4" s="18" t="inlineStr">
        <is>
          <t>3003</t>
        </is>
      </c>
    </row>
    <row r="5">
      <c r="A5" s="18" t="inlineStr">
        <is>
          <t>09:00:00</t>
        </is>
      </c>
      <c r="B5" s="18" t="inlineStr">
        <is>
          <t>09:00-10:00</t>
        </is>
      </c>
      <c r="C5" s="18" t="inlineStr">
        <is>
          <t>Ca 1</t>
        </is>
      </c>
      <c r="E5" s="19" t="inlineStr">
        <is>
          <t>Movement Type Xuất</t>
        </is>
      </c>
      <c r="F5" s="18" t="inlineStr">
        <is>
          <t>311</t>
        </is>
      </c>
    </row>
    <row r="6">
      <c r="A6" s="18" t="inlineStr">
        <is>
          <t>10:00:00</t>
        </is>
      </c>
      <c r="B6" s="18" t="inlineStr">
        <is>
          <t>10:00-11:00</t>
        </is>
      </c>
      <c r="C6" s="18" t="inlineStr">
        <is>
          <t>Ca 1</t>
        </is>
      </c>
      <c r="E6" s="19" t="inlineStr">
        <is>
          <t>Movement Type Hủy</t>
        </is>
      </c>
      <c r="F6" s="18" t="inlineStr">
        <is>
          <t>312</t>
        </is>
      </c>
    </row>
    <row r="7">
      <c r="A7" s="18" t="inlineStr">
        <is>
          <t>11:00:00</t>
        </is>
      </c>
      <c r="B7" s="18" t="inlineStr">
        <is>
          <t>11:00-12:00</t>
        </is>
      </c>
      <c r="C7" s="18" t="inlineStr">
        <is>
          <t>Ca 1</t>
        </is>
      </c>
      <c r="E7" s="19" t="inlineStr">
        <is>
          <t>Xưởng sản xuất</t>
        </is>
      </c>
      <c r="F7" s="18" t="inlineStr">
        <is>
          <t>NMVFHP - MA Shop / Thân vỏ</t>
        </is>
      </c>
    </row>
    <row r="8">
      <c r="A8" s="18" t="inlineStr">
        <is>
          <t>12:00:00</t>
        </is>
      </c>
      <c r="B8" s="18" t="inlineStr">
        <is>
          <t>12:00-13:00</t>
        </is>
      </c>
      <c r="C8" s="18" t="inlineStr">
        <is>
          <t>Ca 1</t>
        </is>
      </c>
    </row>
    <row r="9">
      <c r="A9" s="18" t="inlineStr">
        <is>
          <t>13:00:00</t>
        </is>
      </c>
      <c r="B9" s="18" t="inlineStr">
        <is>
          <t>13:00-14:00</t>
        </is>
      </c>
      <c r="C9" s="18" t="inlineStr">
        <is>
          <t>Ca 1</t>
        </is>
      </c>
    </row>
    <row r="10">
      <c r="A10" s="18" t="inlineStr">
        <is>
          <t>14:00:00</t>
        </is>
      </c>
      <c r="B10" s="18" t="inlineStr">
        <is>
          <t>14:00-15:00</t>
        </is>
      </c>
      <c r="C10" s="18" t="inlineStr">
        <is>
          <t>Ca 2</t>
        </is>
      </c>
    </row>
    <row r="11">
      <c r="A11" s="18" t="inlineStr">
        <is>
          <t>15:00:00</t>
        </is>
      </c>
      <c r="B11" s="18" t="inlineStr">
        <is>
          <t>15:00-16:00</t>
        </is>
      </c>
      <c r="C11" s="18" t="inlineStr">
        <is>
          <t>Ca 2</t>
        </is>
      </c>
    </row>
    <row r="12">
      <c r="A12" s="18" t="inlineStr">
        <is>
          <t>16:00:00</t>
        </is>
      </c>
      <c r="B12" s="18" t="inlineStr">
        <is>
          <t>16:00-17:00</t>
        </is>
      </c>
      <c r="C12" s="18" t="inlineStr">
        <is>
          <t>Ca 2</t>
        </is>
      </c>
    </row>
    <row r="13">
      <c r="A13" s="18" t="inlineStr">
        <is>
          <t>17:00:00</t>
        </is>
      </c>
      <c r="B13" s="18" t="inlineStr">
        <is>
          <t>17:00-18:00</t>
        </is>
      </c>
      <c r="C13" s="18" t="inlineStr">
        <is>
          <t>Ca 2</t>
        </is>
      </c>
    </row>
    <row r="14">
      <c r="A14" s="18" t="inlineStr">
        <is>
          <t>18:00:00</t>
        </is>
      </c>
      <c r="B14" s="18" t="inlineStr">
        <is>
          <t>18:00-19:00</t>
        </is>
      </c>
      <c r="C14" s="18" t="inlineStr">
        <is>
          <t>Ca 2</t>
        </is>
      </c>
    </row>
    <row r="15">
      <c r="A15" s="18" t="inlineStr">
        <is>
          <t>19:00:00</t>
        </is>
      </c>
      <c r="B15" s="18" t="inlineStr">
        <is>
          <t>19:00-20:00</t>
        </is>
      </c>
      <c r="C15" s="18" t="inlineStr">
        <is>
          <t>Ca 2</t>
        </is>
      </c>
    </row>
    <row r="16">
      <c r="A16" s="18" t="inlineStr">
        <is>
          <t>20:00:00</t>
        </is>
      </c>
      <c r="B16" s="18" t="inlineStr">
        <is>
          <t>20:00-21:00</t>
        </is>
      </c>
      <c r="C16" s="18" t="inlineStr">
        <is>
          <t>Ca 2</t>
        </is>
      </c>
    </row>
    <row r="17">
      <c r="A17" s="18" t="inlineStr">
        <is>
          <t>21:00:00</t>
        </is>
      </c>
      <c r="B17" s="18" t="inlineStr">
        <is>
          <t>21:00-22:00</t>
        </is>
      </c>
      <c r="C17" s="18" t="inlineStr">
        <is>
          <t>Ca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2026-10-23T10:28:13Z</dcterms:created>
  <dcterms:modified xsi:type="dcterms:W3CDTF">2026-10-23T10:28:45Z</dcterms:modified>
</cp:coreProperties>
</file>